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clyde\workspace\swimmingclub\"/>
    </mc:Choice>
  </mc:AlternateContent>
  <xr:revisionPtr revIDLastSave="0" documentId="13_ncr:1_{9E42E435-A96E-4867-B3C8-AA54D7B58798}" xr6:coauthVersionLast="43" xr6:coauthVersionMax="43" xr10:uidLastSave="{00000000-0000-0000-0000-000000000000}"/>
  <bookViews>
    <workbookView xWindow="-120" yWindow="-120" windowWidth="20730" windowHeight="11760" tabRatio="917" activeTab="7" xr2:uid="{00000000-000D-0000-FFFF-FFFF00000000}"/>
  </bookViews>
  <sheets>
    <sheet name="Instructions" sheetId="9" r:id="rId1"/>
    <sheet name="Team1" sheetId="1" r:id="rId2"/>
    <sheet name="Team2" sheetId="3" r:id="rId3"/>
    <sheet name="Team3" sheetId="10" r:id="rId4"/>
    <sheet name="Team1 - Tracking" sheetId="7" r:id="rId5"/>
    <sheet name="Team2 - Tracking" sheetId="8" r:id="rId6"/>
    <sheet name="Team3 - Tracking" sheetId="11" r:id="rId7"/>
    <sheet name="RecordingSheet" sheetId="4" r:id="rId8"/>
    <sheet name="Team1Analysis" sheetId="6" r:id="rId9"/>
    <sheet name="Team2Analysis" sheetId="12" r:id="rId10"/>
    <sheet name="Team3Analysis" sheetId="5" r:id="rId11"/>
  </sheets>
  <definedNames>
    <definedName name="_xlnm.Print_Area" localSheetId="7">RecordingSheet!$A$1:$K$354</definedName>
    <definedName name="_xlnm.Print_Area" localSheetId="1">Team1!$A$1:$H$33</definedName>
    <definedName name="_xlnm.Print_Area" localSheetId="4">'Team1 - Tracking'!$A$4:$N$47</definedName>
    <definedName name="_xlnm.Print_Area" localSheetId="2">Team2!$A$1:$H$37</definedName>
    <definedName name="_xlnm.Print_Area" localSheetId="5">'Team2 - Tracking'!$A$4:$O$47</definedName>
    <definedName name="_xlnm.Print_Area" localSheetId="3">Team3!$A$1:$H$37</definedName>
    <definedName name="_xlnm.Print_Area" localSheetId="6">'Team3 - Tracking'!$A$4:$O$47</definedName>
  </definedName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4" i="4" l="1"/>
  <c r="H18" i="4"/>
  <c r="J18" i="4"/>
  <c r="H30" i="4"/>
  <c r="J30" i="4"/>
  <c r="J40" i="4"/>
  <c r="J70" i="4"/>
  <c r="H49" i="4"/>
  <c r="J49" i="4"/>
  <c r="H61" i="4"/>
  <c r="J61" i="4"/>
  <c r="J69" i="4"/>
  <c r="J71" i="4"/>
  <c r="J125" i="4"/>
  <c r="H79" i="4"/>
  <c r="H78" i="4"/>
  <c r="J78" i="4"/>
  <c r="H85" i="4"/>
  <c r="H84" i="4"/>
  <c r="J84" i="4"/>
  <c r="H90" i="4"/>
  <c r="H91" i="4"/>
  <c r="J90" i="4"/>
  <c r="H96" i="4"/>
  <c r="H97" i="4"/>
  <c r="J96" i="4"/>
  <c r="H102" i="4"/>
  <c r="H103" i="4"/>
  <c r="J102" i="4"/>
  <c r="H108" i="4"/>
  <c r="H109" i="4"/>
  <c r="J108" i="4"/>
  <c r="H115" i="4"/>
  <c r="H114" i="4"/>
  <c r="J114" i="4"/>
  <c r="H121" i="4"/>
  <c r="H120" i="4"/>
  <c r="J120" i="4"/>
  <c r="J124" i="4"/>
  <c r="J126" i="4"/>
  <c r="J180" i="4"/>
  <c r="H133" i="4"/>
  <c r="H134" i="4"/>
  <c r="J133" i="4"/>
  <c r="H139" i="4"/>
  <c r="H140" i="4"/>
  <c r="J139" i="4"/>
  <c r="H145" i="4"/>
  <c r="H146" i="4"/>
  <c r="J145" i="4"/>
  <c r="H151" i="4"/>
  <c r="H152" i="4"/>
  <c r="J151" i="4"/>
  <c r="H158" i="4"/>
  <c r="H157" i="4"/>
  <c r="J157" i="4"/>
  <c r="H163" i="4"/>
  <c r="H164" i="4"/>
  <c r="J163" i="4"/>
  <c r="H169" i="4"/>
  <c r="H170" i="4"/>
  <c r="J169" i="4"/>
  <c r="H175" i="4"/>
  <c r="H176" i="4"/>
  <c r="J175" i="4"/>
  <c r="J179" i="4"/>
  <c r="J181" i="4"/>
  <c r="J235" i="4"/>
  <c r="H188" i="4"/>
  <c r="H189" i="4"/>
  <c r="J188" i="4"/>
  <c r="H194" i="4"/>
  <c r="H195" i="4"/>
  <c r="J194" i="4"/>
  <c r="H200" i="4"/>
  <c r="H201" i="4"/>
  <c r="J200" i="4"/>
  <c r="H206" i="4"/>
  <c r="H207" i="4"/>
  <c r="J206" i="4"/>
  <c r="H212" i="4"/>
  <c r="H213" i="4"/>
  <c r="J212" i="4"/>
  <c r="H218" i="4"/>
  <c r="H219" i="4"/>
  <c r="J218" i="4"/>
  <c r="H224" i="4"/>
  <c r="H225" i="4"/>
  <c r="J224" i="4"/>
  <c r="H231" i="4"/>
  <c r="H230" i="4"/>
  <c r="J230" i="4"/>
  <c r="J234" i="4"/>
  <c r="J236" i="4"/>
  <c r="J290" i="4"/>
  <c r="H243" i="4"/>
  <c r="H244" i="4"/>
  <c r="J243" i="4"/>
  <c r="H249" i="4"/>
  <c r="H250" i="4"/>
  <c r="J249" i="4"/>
  <c r="H255" i="4"/>
  <c r="H256" i="4"/>
  <c r="J255" i="4"/>
  <c r="H261" i="4"/>
  <c r="H262" i="4"/>
  <c r="J261" i="4"/>
  <c r="H267" i="4"/>
  <c r="H268" i="4"/>
  <c r="J267" i="4"/>
  <c r="H273" i="4"/>
  <c r="H274" i="4"/>
  <c r="J273" i="4"/>
  <c r="H279" i="4"/>
  <c r="H280" i="4"/>
  <c r="J279" i="4"/>
  <c r="H285" i="4"/>
  <c r="H286" i="4"/>
  <c r="J285" i="4"/>
  <c r="J289" i="4"/>
  <c r="J291" i="4"/>
  <c r="J322" i="4"/>
  <c r="H301" i="4"/>
  <c r="J301" i="4"/>
  <c r="H313" i="4"/>
  <c r="J313" i="4"/>
  <c r="J321" i="4"/>
  <c r="J323" i="4"/>
  <c r="J353" i="4"/>
  <c r="H332" i="4"/>
  <c r="J332" i="4"/>
  <c r="H344" i="4"/>
  <c r="J344" i="4"/>
  <c r="J352" i="4"/>
  <c r="J354" i="4"/>
  <c r="F6" i="4"/>
  <c r="H14" i="4"/>
  <c r="I14" i="4"/>
  <c r="H26" i="4"/>
  <c r="I26" i="4"/>
  <c r="I40" i="4"/>
  <c r="I70" i="4"/>
  <c r="H45" i="4"/>
  <c r="I45" i="4"/>
  <c r="H57" i="4"/>
  <c r="I57" i="4"/>
  <c r="I69" i="4"/>
  <c r="I71" i="4"/>
  <c r="I125" i="4"/>
  <c r="H77" i="4"/>
  <c r="H76" i="4"/>
  <c r="I76" i="4"/>
  <c r="H82" i="4"/>
  <c r="H83" i="4"/>
  <c r="I82" i="4"/>
  <c r="H89" i="4"/>
  <c r="H88" i="4"/>
  <c r="I88" i="4"/>
  <c r="H95" i="4"/>
  <c r="H94" i="4"/>
  <c r="I94" i="4"/>
  <c r="H100" i="4"/>
  <c r="H101" i="4"/>
  <c r="I100" i="4"/>
  <c r="H106" i="4"/>
  <c r="H107" i="4"/>
  <c r="I106" i="4"/>
  <c r="H112" i="4"/>
  <c r="H113" i="4"/>
  <c r="I112" i="4"/>
  <c r="H118" i="4"/>
  <c r="H119" i="4"/>
  <c r="I118" i="4"/>
  <c r="I124" i="4"/>
  <c r="I126" i="4"/>
  <c r="I180" i="4"/>
  <c r="H131" i="4"/>
  <c r="H132" i="4"/>
  <c r="I131" i="4"/>
  <c r="H137" i="4"/>
  <c r="H138" i="4"/>
  <c r="I137" i="4"/>
  <c r="H143" i="4"/>
  <c r="H144" i="4"/>
  <c r="I143" i="4"/>
  <c r="H149" i="4"/>
  <c r="H150" i="4"/>
  <c r="I149" i="4"/>
  <c r="H156" i="4"/>
  <c r="H155" i="4"/>
  <c r="I155" i="4"/>
  <c r="H161" i="4"/>
  <c r="H162" i="4"/>
  <c r="I161" i="4"/>
  <c r="H167" i="4"/>
  <c r="H168" i="4"/>
  <c r="I167" i="4"/>
  <c r="H173" i="4"/>
  <c r="H174" i="4"/>
  <c r="I173" i="4"/>
  <c r="I179" i="4"/>
  <c r="I181" i="4"/>
  <c r="I235" i="4"/>
  <c r="H186" i="4"/>
  <c r="H187" i="4"/>
  <c r="I186" i="4"/>
  <c r="H192" i="4"/>
  <c r="H193" i="4"/>
  <c r="I192" i="4"/>
  <c r="H198" i="4"/>
  <c r="H199" i="4"/>
  <c r="I198" i="4"/>
  <c r="H204" i="4"/>
  <c r="H205" i="4"/>
  <c r="I204" i="4"/>
  <c r="H210" i="4"/>
  <c r="H211" i="4"/>
  <c r="I210" i="4"/>
  <c r="H216" i="4"/>
  <c r="H217" i="4"/>
  <c r="I216" i="4"/>
  <c r="H222" i="4"/>
  <c r="H223" i="4"/>
  <c r="I222" i="4"/>
  <c r="H228" i="4"/>
  <c r="H229" i="4"/>
  <c r="I228" i="4"/>
  <c r="I234" i="4"/>
  <c r="I236" i="4"/>
  <c r="I290" i="4"/>
  <c r="H241" i="4"/>
  <c r="H242" i="4"/>
  <c r="I241" i="4"/>
  <c r="H247" i="4"/>
  <c r="H248" i="4"/>
  <c r="I247" i="4"/>
  <c r="H253" i="4"/>
  <c r="H254" i="4"/>
  <c r="I253" i="4"/>
  <c r="H259" i="4"/>
  <c r="H260" i="4"/>
  <c r="I259" i="4"/>
  <c r="H265" i="4"/>
  <c r="H266" i="4"/>
  <c r="I265" i="4"/>
  <c r="H271" i="4"/>
  <c r="H272" i="4"/>
  <c r="I271" i="4"/>
  <c r="H277" i="4"/>
  <c r="H278" i="4"/>
  <c r="I277" i="4"/>
  <c r="H283" i="4"/>
  <c r="H284" i="4"/>
  <c r="I283" i="4"/>
  <c r="I289" i="4"/>
  <c r="I291" i="4"/>
  <c r="I322" i="4"/>
  <c r="H297" i="4"/>
  <c r="I297" i="4"/>
  <c r="H309" i="4"/>
  <c r="I309" i="4"/>
  <c r="I321" i="4"/>
  <c r="I323" i="4"/>
  <c r="I353" i="4"/>
  <c r="H328" i="4"/>
  <c r="I328" i="4"/>
  <c r="H340" i="4"/>
  <c r="I340" i="4"/>
  <c r="I352" i="4"/>
  <c r="I354" i="4"/>
  <c r="C6" i="4"/>
  <c r="J5" i="4"/>
  <c r="F5" i="4"/>
  <c r="C5" i="4"/>
  <c r="D66" i="4"/>
  <c r="E66" i="4"/>
  <c r="D67" i="4"/>
  <c r="E67" i="4"/>
  <c r="D68" i="4"/>
  <c r="E68" i="4"/>
  <c r="D65" i="4"/>
  <c r="E65" i="4"/>
  <c r="B1" i="6"/>
  <c r="B3" i="6"/>
  <c r="H22" i="4"/>
  <c r="K22" i="4"/>
  <c r="H81" i="4"/>
  <c r="H80" i="4"/>
  <c r="D308" i="4"/>
  <c r="D307" i="4"/>
  <c r="D306" i="4"/>
  <c r="D305" i="4"/>
  <c r="D339" i="4"/>
  <c r="D338" i="4"/>
  <c r="D337" i="4"/>
  <c r="D336" i="4"/>
  <c r="D334" i="4"/>
  <c r="D333" i="4"/>
  <c r="D304" i="4"/>
  <c r="D303" i="4"/>
  <c r="D302" i="4"/>
  <c r="D301" i="4"/>
  <c r="D320" i="4"/>
  <c r="D319" i="4"/>
  <c r="D318" i="4"/>
  <c r="D317" i="4"/>
  <c r="D351" i="4"/>
  <c r="D350" i="4"/>
  <c r="D349" i="4"/>
  <c r="D348" i="4"/>
  <c r="D346" i="4"/>
  <c r="D316" i="4"/>
  <c r="D313" i="4"/>
  <c r="B348" i="4"/>
  <c r="B344" i="4"/>
  <c r="B340" i="4"/>
  <c r="B336" i="4"/>
  <c r="B332" i="4"/>
  <c r="B328" i="4"/>
  <c r="B317" i="4"/>
  <c r="B313" i="4"/>
  <c r="B309" i="4"/>
  <c r="B305" i="4"/>
  <c r="B301" i="4"/>
  <c r="D243" i="4"/>
  <c r="D244" i="4"/>
  <c r="D250" i="4"/>
  <c r="D249" i="4"/>
  <c r="D256" i="4"/>
  <c r="D255" i="4"/>
  <c r="D262" i="4"/>
  <c r="D261" i="4"/>
  <c r="D268" i="4"/>
  <c r="D267" i="4"/>
  <c r="D274" i="4"/>
  <c r="D273" i="4"/>
  <c r="D280" i="4"/>
  <c r="D279" i="4"/>
  <c r="D286" i="4"/>
  <c r="D285" i="4"/>
  <c r="D288" i="4"/>
  <c r="D287" i="4"/>
  <c r="D282" i="4"/>
  <c r="D281" i="4"/>
  <c r="D276" i="4"/>
  <c r="D275" i="4"/>
  <c r="D270" i="4"/>
  <c r="D269" i="4"/>
  <c r="D264" i="4"/>
  <c r="D263" i="4"/>
  <c r="D258" i="4"/>
  <c r="D257" i="4"/>
  <c r="D252" i="4"/>
  <c r="D251" i="4"/>
  <c r="D246" i="4"/>
  <c r="D245" i="4"/>
  <c r="D232" i="4"/>
  <c r="D227" i="4"/>
  <c r="D226" i="4"/>
  <c r="D221" i="4"/>
  <c r="D220" i="4"/>
  <c r="D215" i="4"/>
  <c r="D214" i="4"/>
  <c r="D209" i="4"/>
  <c r="D208" i="4"/>
  <c r="D203" i="4"/>
  <c r="D202" i="4"/>
  <c r="D197" i="4"/>
  <c r="D196" i="4"/>
  <c r="D191" i="4"/>
  <c r="D190" i="4"/>
  <c r="D231" i="4"/>
  <c r="D230" i="4"/>
  <c r="D225" i="4"/>
  <c r="D224" i="4"/>
  <c r="D219" i="4"/>
  <c r="D218" i="4"/>
  <c r="D213" i="4"/>
  <c r="D212" i="4"/>
  <c r="D207" i="4"/>
  <c r="D206" i="4"/>
  <c r="D201" i="4"/>
  <c r="D200" i="4"/>
  <c r="D195" i="4"/>
  <c r="D194" i="4"/>
  <c r="D189" i="4"/>
  <c r="D188" i="4"/>
  <c r="B287" i="4"/>
  <c r="B285" i="4"/>
  <c r="B283" i="4"/>
  <c r="B281" i="4"/>
  <c r="B279" i="4"/>
  <c r="B277" i="4"/>
  <c r="B275" i="4"/>
  <c r="B273" i="4"/>
  <c r="B271" i="4"/>
  <c r="B269" i="4"/>
  <c r="B267" i="4"/>
  <c r="B265" i="4"/>
  <c r="B263" i="4"/>
  <c r="B261" i="4"/>
  <c r="B259" i="4"/>
  <c r="B257" i="4"/>
  <c r="B255" i="4"/>
  <c r="B253" i="4"/>
  <c r="B251" i="4"/>
  <c r="B249" i="4"/>
  <c r="B247" i="4"/>
  <c r="B245" i="4"/>
  <c r="B243" i="4"/>
  <c r="B241" i="4"/>
  <c r="B232" i="4"/>
  <c r="B230" i="4"/>
  <c r="B228" i="4"/>
  <c r="B226" i="4"/>
  <c r="B224" i="4"/>
  <c r="B222" i="4"/>
  <c r="B220" i="4"/>
  <c r="B218" i="4"/>
  <c r="B216" i="4"/>
  <c r="B214" i="4"/>
  <c r="B212" i="4"/>
  <c r="B210" i="4"/>
  <c r="B208" i="4"/>
  <c r="B206" i="4"/>
  <c r="B204" i="4"/>
  <c r="B202" i="4"/>
  <c r="B200" i="4"/>
  <c r="B198" i="4"/>
  <c r="B196" i="4"/>
  <c r="B194" i="4"/>
  <c r="B192" i="4"/>
  <c r="B190" i="4"/>
  <c r="B188" i="4"/>
  <c r="B186" i="4"/>
  <c r="B3" i="5"/>
  <c r="D176" i="4"/>
  <c r="D175" i="4"/>
  <c r="D170" i="4"/>
  <c r="D169" i="4"/>
  <c r="D164" i="4"/>
  <c r="D163" i="4"/>
  <c r="D158" i="4"/>
  <c r="D157" i="4"/>
  <c r="D152" i="4"/>
  <c r="D151" i="4"/>
  <c r="D146" i="4"/>
  <c r="D145" i="4"/>
  <c r="D140" i="4"/>
  <c r="D139" i="4"/>
  <c r="D134" i="4"/>
  <c r="D133" i="4"/>
  <c r="D178" i="4"/>
  <c r="D177" i="4"/>
  <c r="D172" i="4"/>
  <c r="D171" i="4"/>
  <c r="D166" i="4"/>
  <c r="D165" i="4"/>
  <c r="D160" i="4"/>
  <c r="D159" i="4"/>
  <c r="D154" i="4"/>
  <c r="D153" i="4"/>
  <c r="D148" i="4"/>
  <c r="D147" i="4"/>
  <c r="D142" i="4"/>
  <c r="D141" i="4"/>
  <c r="D136" i="4"/>
  <c r="D135" i="4"/>
  <c r="B177" i="4"/>
  <c r="B175" i="4"/>
  <c r="B173" i="4"/>
  <c r="B171" i="4"/>
  <c r="B169" i="4"/>
  <c r="B167" i="4"/>
  <c r="B165" i="4"/>
  <c r="B163" i="4"/>
  <c r="B161" i="4"/>
  <c r="B159" i="4"/>
  <c r="B157" i="4"/>
  <c r="B155" i="4"/>
  <c r="B153" i="4"/>
  <c r="B151" i="4"/>
  <c r="B149" i="4"/>
  <c r="B147" i="4"/>
  <c r="B145" i="4"/>
  <c r="B143" i="4"/>
  <c r="B141" i="4"/>
  <c r="B139" i="4"/>
  <c r="B137" i="4"/>
  <c r="B135" i="4"/>
  <c r="B133" i="4"/>
  <c r="B131" i="4"/>
  <c r="D81" i="4"/>
  <c r="D80" i="4"/>
  <c r="D87" i="4"/>
  <c r="D86" i="4"/>
  <c r="B86" i="4"/>
  <c r="D93" i="4"/>
  <c r="D92" i="4"/>
  <c r="B92" i="4"/>
  <c r="D99" i="4"/>
  <c r="D98" i="4"/>
  <c r="B98" i="4"/>
  <c r="D105" i="4"/>
  <c r="D104" i="4"/>
  <c r="B104" i="4"/>
  <c r="D111" i="4"/>
  <c r="D110" i="4"/>
  <c r="B110" i="4"/>
  <c r="D117" i="4"/>
  <c r="D116" i="4"/>
  <c r="B116" i="4"/>
  <c r="D123" i="4"/>
  <c r="D122" i="4"/>
  <c r="B122" i="4"/>
  <c r="D121" i="4"/>
  <c r="D120" i="4"/>
  <c r="B120" i="4"/>
  <c r="D115" i="4"/>
  <c r="B114" i="4"/>
  <c r="D109" i="4"/>
  <c r="D108" i="4"/>
  <c r="B108" i="4"/>
  <c r="D103" i="4"/>
  <c r="D102" i="4"/>
  <c r="B102" i="4"/>
  <c r="D97" i="4"/>
  <c r="D96" i="4"/>
  <c r="B96" i="4"/>
  <c r="D91" i="4"/>
  <c r="D90" i="4"/>
  <c r="B90" i="4"/>
  <c r="D85" i="4"/>
  <c r="D84" i="4"/>
  <c r="B84" i="4"/>
  <c r="D79" i="4"/>
  <c r="D78" i="4"/>
  <c r="B80" i="4"/>
  <c r="B78" i="4"/>
  <c r="B65" i="4"/>
  <c r="D33" i="4"/>
  <c r="D32" i="4"/>
  <c r="D31" i="4"/>
  <c r="D30" i="4"/>
  <c r="D37" i="4"/>
  <c r="D36" i="4"/>
  <c r="D35" i="4"/>
  <c r="D34" i="4"/>
  <c r="B34" i="4"/>
  <c r="B30" i="4"/>
  <c r="B61" i="4"/>
  <c r="D56" i="4"/>
  <c r="D55" i="4"/>
  <c r="D54" i="4"/>
  <c r="D53" i="4"/>
  <c r="D25" i="4"/>
  <c r="D24" i="4"/>
  <c r="D23" i="4"/>
  <c r="D22" i="4"/>
  <c r="D21" i="4"/>
  <c r="D20" i="4"/>
  <c r="D19" i="4"/>
  <c r="B53" i="4"/>
  <c r="B49" i="4"/>
  <c r="D50" i="4"/>
  <c r="B22" i="4"/>
  <c r="B18" i="4"/>
  <c r="D343" i="4"/>
  <c r="D342" i="4"/>
  <c r="D341" i="4"/>
  <c r="D340" i="4"/>
  <c r="D312" i="4"/>
  <c r="D311" i="4"/>
  <c r="D310" i="4"/>
  <c r="D309" i="4"/>
  <c r="D60" i="4"/>
  <c r="D59" i="4"/>
  <c r="D58" i="4"/>
  <c r="D57" i="4"/>
  <c r="D29" i="4"/>
  <c r="D28" i="4"/>
  <c r="D27" i="4"/>
  <c r="D26" i="4"/>
  <c r="D17" i="4"/>
  <c r="D16" i="4"/>
  <c r="D15" i="4"/>
  <c r="D14" i="4"/>
  <c r="D331" i="4"/>
  <c r="D330" i="4"/>
  <c r="D329" i="4"/>
  <c r="D328" i="4"/>
  <c r="D300" i="4"/>
  <c r="D299" i="4"/>
  <c r="D298" i="4"/>
  <c r="D297" i="4"/>
  <c r="D48" i="4"/>
  <c r="D47" i="4"/>
  <c r="D46" i="4"/>
  <c r="D45" i="4"/>
  <c r="H123" i="4"/>
  <c r="H122" i="4"/>
  <c r="H117" i="4"/>
  <c r="H116" i="4"/>
  <c r="H111" i="4"/>
  <c r="H110" i="4"/>
  <c r="H105" i="4"/>
  <c r="H104" i="4"/>
  <c r="H99" i="4"/>
  <c r="H98" i="4"/>
  <c r="H93" i="4"/>
  <c r="H92" i="4"/>
  <c r="H87" i="4"/>
  <c r="H86" i="4"/>
  <c r="K86" i="4"/>
  <c r="H178" i="4"/>
  <c r="H177" i="4"/>
  <c r="H172" i="4"/>
  <c r="H171" i="4"/>
  <c r="H166" i="4"/>
  <c r="H165" i="4"/>
  <c r="H160" i="4"/>
  <c r="H159" i="4"/>
  <c r="H154" i="4"/>
  <c r="H153" i="4"/>
  <c r="H148" i="4"/>
  <c r="H147" i="4"/>
  <c r="H142" i="4"/>
  <c r="H141" i="4"/>
  <c r="H136" i="4"/>
  <c r="H135" i="4"/>
  <c r="H233" i="4"/>
  <c r="H232" i="4"/>
  <c r="H227" i="4"/>
  <c r="H226" i="4"/>
  <c r="H221" i="4"/>
  <c r="H220" i="4"/>
  <c r="H215" i="4"/>
  <c r="H214" i="4"/>
  <c r="H209" i="4"/>
  <c r="H208" i="4"/>
  <c r="H203" i="4"/>
  <c r="H202" i="4"/>
  <c r="H197" i="4"/>
  <c r="H196" i="4"/>
  <c r="H191" i="4"/>
  <c r="H190" i="4"/>
  <c r="H246" i="4"/>
  <c r="H245" i="4"/>
  <c r="H252" i="4"/>
  <c r="H251" i="4"/>
  <c r="H258" i="4"/>
  <c r="H257" i="4"/>
  <c r="H264" i="4"/>
  <c r="H263" i="4"/>
  <c r="H270" i="4"/>
  <c r="H269" i="4"/>
  <c r="H276" i="4"/>
  <c r="H275" i="4"/>
  <c r="H282" i="4"/>
  <c r="H281" i="4"/>
  <c r="Q207" i="4"/>
  <c r="Q205" i="4"/>
  <c r="Q203" i="4"/>
  <c r="Q201" i="4"/>
  <c r="Q196" i="4"/>
  <c r="Q194" i="4"/>
  <c r="Q192" i="4"/>
  <c r="Q190" i="4"/>
  <c r="Q188" i="4"/>
  <c r="Q262" i="4"/>
  <c r="Q260" i="4"/>
  <c r="Q258" i="4"/>
  <c r="Q256" i="4"/>
  <c r="Q251" i="4"/>
  <c r="Q249" i="4"/>
  <c r="Q247" i="4"/>
  <c r="Q245" i="4"/>
  <c r="Q243" i="4"/>
  <c r="Q152" i="4"/>
  <c r="Q150" i="4"/>
  <c r="Q148" i="4"/>
  <c r="Q146" i="4"/>
  <c r="Q141" i="4"/>
  <c r="Q139" i="4"/>
  <c r="Q137" i="4"/>
  <c r="Q135" i="4"/>
  <c r="Q133" i="4"/>
  <c r="Q95" i="4"/>
  <c r="Q97" i="4"/>
  <c r="Q93" i="4"/>
  <c r="Q91" i="4"/>
  <c r="Q86" i="4"/>
  <c r="Q84" i="4"/>
  <c r="Q82" i="4"/>
  <c r="Q80" i="4"/>
  <c r="Q78" i="4"/>
  <c r="H288" i="4"/>
  <c r="H287" i="4"/>
  <c r="D6" i="12"/>
  <c r="D6" i="5"/>
  <c r="B297" i="4"/>
  <c r="B118" i="4"/>
  <c r="B112" i="4"/>
  <c r="B106" i="4"/>
  <c r="B100" i="4"/>
  <c r="B94" i="4"/>
  <c r="B88" i="4"/>
  <c r="B82" i="4"/>
  <c r="C6" i="6"/>
  <c r="C6" i="5"/>
  <c r="B76" i="4"/>
  <c r="D76" i="4"/>
  <c r="C6" i="12"/>
  <c r="B57" i="4"/>
  <c r="B45" i="4"/>
  <c r="B26" i="4"/>
  <c r="B14" i="4"/>
  <c r="H43" i="5"/>
  <c r="H42" i="5"/>
  <c r="H43" i="12"/>
  <c r="H42" i="12"/>
  <c r="H43" i="6"/>
  <c r="H42" i="6"/>
  <c r="D43" i="6"/>
  <c r="D42" i="6"/>
  <c r="D42" i="12"/>
  <c r="D43" i="12"/>
  <c r="D43" i="5"/>
  <c r="D42" i="5"/>
  <c r="B3" i="12"/>
  <c r="H9" i="12"/>
  <c r="J26" i="12"/>
  <c r="J36" i="12"/>
  <c r="K36" i="12"/>
  <c r="H41" i="6"/>
  <c r="H39" i="6"/>
  <c r="H38" i="6"/>
  <c r="H37" i="6"/>
  <c r="D41" i="6"/>
  <c r="D39" i="6"/>
  <c r="D37" i="6"/>
  <c r="H40" i="6"/>
  <c r="H36" i="6"/>
  <c r="D40" i="6"/>
  <c r="D38" i="6"/>
  <c r="D36" i="6"/>
  <c r="D33" i="6"/>
  <c r="D31" i="6"/>
  <c r="D29" i="6"/>
  <c r="D27" i="6"/>
  <c r="H27" i="6"/>
  <c r="H29" i="6"/>
  <c r="H31" i="6"/>
  <c r="H33" i="6"/>
  <c r="H32" i="6"/>
  <c r="H30" i="6"/>
  <c r="H28" i="6"/>
  <c r="H26" i="6"/>
  <c r="D32" i="6"/>
  <c r="D30" i="6"/>
  <c r="D28" i="6"/>
  <c r="D26" i="6"/>
  <c r="H23" i="6"/>
  <c r="H21" i="6"/>
  <c r="H19" i="6"/>
  <c r="H17" i="6"/>
  <c r="H22" i="6"/>
  <c r="H20" i="6"/>
  <c r="H18" i="6"/>
  <c r="H16" i="6"/>
  <c r="D23" i="6"/>
  <c r="D21" i="6"/>
  <c r="D19" i="6"/>
  <c r="D17" i="6"/>
  <c r="D22" i="6"/>
  <c r="D20" i="6"/>
  <c r="D18" i="6"/>
  <c r="D16" i="6"/>
  <c r="H13" i="6"/>
  <c r="H12" i="6"/>
  <c r="D13" i="6"/>
  <c r="D12" i="6"/>
  <c r="H11" i="6"/>
  <c r="H10" i="6"/>
  <c r="D11" i="6"/>
  <c r="D10" i="6"/>
  <c r="H9" i="6"/>
  <c r="H8" i="6"/>
  <c r="H7" i="6"/>
  <c r="H6" i="6"/>
  <c r="D9" i="6"/>
  <c r="D8" i="6"/>
  <c r="D7" i="6"/>
  <c r="D6" i="6"/>
  <c r="K36" i="6"/>
  <c r="J36" i="6"/>
  <c r="K26" i="6"/>
  <c r="J26" i="6"/>
  <c r="K16" i="6"/>
  <c r="J16" i="6"/>
  <c r="K6" i="6"/>
  <c r="J6" i="6"/>
  <c r="H41" i="12"/>
  <c r="H40" i="12"/>
  <c r="H39" i="12"/>
  <c r="H38" i="12"/>
  <c r="H37" i="12"/>
  <c r="H36" i="12"/>
  <c r="H33" i="12"/>
  <c r="H32" i="12"/>
  <c r="H31" i="12"/>
  <c r="H30" i="12"/>
  <c r="H29" i="12"/>
  <c r="H28" i="12"/>
  <c r="H27" i="12"/>
  <c r="H26" i="12"/>
  <c r="D41" i="12"/>
  <c r="D40" i="12"/>
  <c r="D39" i="12"/>
  <c r="D38" i="12"/>
  <c r="D37" i="12"/>
  <c r="D36" i="12"/>
  <c r="D33" i="12"/>
  <c r="D32" i="12"/>
  <c r="D31" i="12"/>
  <c r="D30" i="12"/>
  <c r="D29" i="12"/>
  <c r="D28" i="12"/>
  <c r="D27" i="12"/>
  <c r="D26" i="12"/>
  <c r="H23" i="12"/>
  <c r="H22" i="12"/>
  <c r="H21" i="12"/>
  <c r="H20" i="12"/>
  <c r="H19" i="12"/>
  <c r="H18" i="12"/>
  <c r="D23" i="12"/>
  <c r="D22" i="12"/>
  <c r="D21" i="12"/>
  <c r="D20" i="12"/>
  <c r="D19" i="12"/>
  <c r="D18" i="12"/>
  <c r="D17" i="12"/>
  <c r="H17" i="12"/>
  <c r="H16" i="12"/>
  <c r="D16" i="12"/>
  <c r="H13" i="12"/>
  <c r="D13" i="12"/>
  <c r="H12" i="12"/>
  <c r="D12" i="12"/>
  <c r="H11" i="12"/>
  <c r="D11" i="12"/>
  <c r="H10" i="12"/>
  <c r="D10" i="12"/>
  <c r="H8" i="12"/>
  <c r="D9" i="12"/>
  <c r="D8" i="12"/>
  <c r="H7" i="12"/>
  <c r="D7" i="12"/>
  <c r="H6" i="12"/>
  <c r="K26" i="12"/>
  <c r="K16" i="12"/>
  <c r="J16" i="12"/>
  <c r="K6" i="12"/>
  <c r="J6" i="12"/>
  <c r="B1" i="12"/>
  <c r="D41" i="5"/>
  <c r="D40" i="5"/>
  <c r="D39" i="5"/>
  <c r="D38" i="5"/>
  <c r="D37" i="5"/>
  <c r="D36" i="5"/>
  <c r="H41" i="5"/>
  <c r="H40" i="5"/>
  <c r="H39" i="5"/>
  <c r="H38" i="5"/>
  <c r="H37" i="5"/>
  <c r="H33" i="5"/>
  <c r="H32" i="5"/>
  <c r="H36" i="5"/>
  <c r="H31" i="5"/>
  <c r="H30" i="5"/>
  <c r="H29" i="5"/>
  <c r="H28" i="5"/>
  <c r="H27" i="5"/>
  <c r="H26" i="5"/>
  <c r="H23" i="5"/>
  <c r="H22" i="5"/>
  <c r="H21" i="5"/>
  <c r="H20" i="5"/>
  <c r="H19" i="5"/>
  <c r="H18" i="5"/>
  <c r="D11" i="5"/>
  <c r="H17" i="5"/>
  <c r="H16" i="5"/>
  <c r="H13" i="5"/>
  <c r="H12" i="5"/>
  <c r="H11" i="5"/>
  <c r="H10" i="5"/>
  <c r="H9" i="5"/>
  <c r="H8" i="5"/>
  <c r="D33" i="5"/>
  <c r="D32" i="5"/>
  <c r="D31" i="5"/>
  <c r="D30" i="5"/>
  <c r="D29" i="5"/>
  <c r="D28" i="5"/>
  <c r="D23" i="5"/>
  <c r="D22" i="5"/>
  <c r="D21" i="5"/>
  <c r="D20" i="5"/>
  <c r="D19" i="5"/>
  <c r="D18" i="5"/>
  <c r="D17" i="5"/>
  <c r="D16" i="5"/>
  <c r="D13" i="5"/>
  <c r="D12" i="5"/>
  <c r="D10" i="5"/>
  <c r="D9" i="5"/>
  <c r="D8" i="5"/>
  <c r="K16" i="5"/>
  <c r="K36" i="5"/>
  <c r="K26" i="5"/>
  <c r="J36" i="5"/>
  <c r="J26" i="5"/>
  <c r="J16" i="5"/>
  <c r="K6" i="5"/>
  <c r="D7" i="5"/>
  <c r="H43" i="4"/>
  <c r="I43" i="4"/>
  <c r="H348" i="4"/>
  <c r="K348" i="4"/>
  <c r="H336" i="4"/>
  <c r="K336" i="4"/>
  <c r="H326" i="4"/>
  <c r="I326" i="4"/>
  <c r="H317" i="4"/>
  <c r="K317" i="4"/>
  <c r="H305" i="4"/>
  <c r="K305" i="4"/>
  <c r="D248" i="4"/>
  <c r="D247" i="4"/>
  <c r="D242" i="4"/>
  <c r="D241" i="4"/>
  <c r="G23" i="6"/>
  <c r="G22" i="6"/>
  <c r="G23" i="5"/>
  <c r="G22" i="5"/>
  <c r="D260" i="4"/>
  <c r="G23" i="12"/>
  <c r="D259" i="4"/>
  <c r="G22" i="12"/>
  <c r="C23" i="6"/>
  <c r="C22" i="6"/>
  <c r="C23" i="5"/>
  <c r="C22" i="5"/>
  <c r="D254" i="4"/>
  <c r="C23" i="12"/>
  <c r="D253" i="4"/>
  <c r="C22" i="12"/>
  <c r="G33" i="6"/>
  <c r="G32" i="6"/>
  <c r="G33" i="5"/>
  <c r="G32" i="5"/>
  <c r="D272" i="4"/>
  <c r="G33" i="12"/>
  <c r="D271" i="4"/>
  <c r="G32" i="12"/>
  <c r="C33" i="6"/>
  <c r="C32" i="6"/>
  <c r="C33" i="5"/>
  <c r="C32" i="5"/>
  <c r="D266" i="4"/>
  <c r="C33" i="12"/>
  <c r="D265" i="4"/>
  <c r="C32" i="12"/>
  <c r="G43" i="6"/>
  <c r="G42" i="6"/>
  <c r="G43" i="5"/>
  <c r="G42" i="5"/>
  <c r="D284" i="4"/>
  <c r="G43" i="12"/>
  <c r="D283" i="4"/>
  <c r="G42" i="12"/>
  <c r="C43" i="6"/>
  <c r="C42" i="6"/>
  <c r="C43" i="5"/>
  <c r="C42" i="5"/>
  <c r="D278" i="4"/>
  <c r="C43" i="12"/>
  <c r="D277" i="4"/>
  <c r="C42" i="12"/>
  <c r="E270" i="4"/>
  <c r="E269" i="4"/>
  <c r="G41" i="6"/>
  <c r="G40" i="6"/>
  <c r="G41" i="5"/>
  <c r="G40" i="5"/>
  <c r="D229" i="4"/>
  <c r="G41" i="12"/>
  <c r="D228" i="4"/>
  <c r="G40" i="12"/>
  <c r="C41" i="6"/>
  <c r="C40" i="6"/>
  <c r="C41" i="5"/>
  <c r="C40" i="5"/>
  <c r="D223" i="4"/>
  <c r="C41" i="12"/>
  <c r="D222" i="4"/>
  <c r="C40" i="12"/>
  <c r="G31" i="6"/>
  <c r="G30" i="6"/>
  <c r="G31" i="5"/>
  <c r="G30" i="5"/>
  <c r="D217" i="4"/>
  <c r="G31" i="12"/>
  <c r="D216" i="4"/>
  <c r="G30" i="12"/>
  <c r="C31" i="6"/>
  <c r="C30" i="6"/>
  <c r="C31" i="5"/>
  <c r="C30" i="5"/>
  <c r="D211" i="4"/>
  <c r="C31" i="12"/>
  <c r="D210" i="4"/>
  <c r="C30" i="12"/>
  <c r="K80" i="4"/>
  <c r="G21" i="6"/>
  <c r="G20" i="6"/>
  <c r="G21" i="5"/>
  <c r="G20" i="5"/>
  <c r="D205" i="4"/>
  <c r="G21" i="12"/>
  <c r="D204" i="4"/>
  <c r="G20" i="12"/>
  <c r="C21" i="6"/>
  <c r="C20" i="6"/>
  <c r="C21" i="5"/>
  <c r="C20" i="5"/>
  <c r="D199" i="4"/>
  <c r="C21" i="12"/>
  <c r="D198" i="4"/>
  <c r="C20" i="12"/>
  <c r="G11" i="6"/>
  <c r="G10" i="6"/>
  <c r="G11" i="5"/>
  <c r="G10" i="5"/>
  <c r="D193" i="4"/>
  <c r="G11" i="12"/>
  <c r="D192" i="4"/>
  <c r="G10" i="12"/>
  <c r="C11" i="6"/>
  <c r="C10" i="6"/>
  <c r="C11" i="5"/>
  <c r="C10" i="5"/>
  <c r="D187" i="4"/>
  <c r="C11" i="12"/>
  <c r="D186" i="4"/>
  <c r="C10" i="12"/>
  <c r="E215" i="4"/>
  <c r="E214" i="4"/>
  <c r="G39" i="6"/>
  <c r="G38" i="6"/>
  <c r="G39" i="5"/>
  <c r="G38" i="5"/>
  <c r="D174" i="4"/>
  <c r="G39" i="12"/>
  <c r="D173" i="4"/>
  <c r="G38" i="12"/>
  <c r="C39" i="6"/>
  <c r="C38" i="6"/>
  <c r="C39" i="5"/>
  <c r="C38" i="5"/>
  <c r="D168" i="4"/>
  <c r="C39" i="12"/>
  <c r="D167" i="4"/>
  <c r="C38" i="12"/>
  <c r="G29" i="6"/>
  <c r="G28" i="6"/>
  <c r="G29" i="5"/>
  <c r="G28" i="5"/>
  <c r="D162" i="4"/>
  <c r="G29" i="12"/>
  <c r="D161" i="4"/>
  <c r="G28" i="12"/>
  <c r="C29" i="6"/>
  <c r="C28" i="6"/>
  <c r="C29" i="5"/>
  <c r="C28" i="5"/>
  <c r="D156" i="4"/>
  <c r="C29" i="12"/>
  <c r="D155" i="4"/>
  <c r="C28" i="12"/>
  <c r="G19" i="6"/>
  <c r="G18" i="6"/>
  <c r="G19" i="5"/>
  <c r="G18" i="5"/>
  <c r="D150" i="4"/>
  <c r="G19" i="12"/>
  <c r="D149" i="4"/>
  <c r="G18" i="12"/>
  <c r="C19" i="6"/>
  <c r="C18" i="6"/>
  <c r="C19" i="5"/>
  <c r="C18" i="5"/>
  <c r="D144" i="4"/>
  <c r="C19" i="12"/>
  <c r="D143" i="4"/>
  <c r="C18" i="12"/>
  <c r="G9" i="6"/>
  <c r="G8" i="6"/>
  <c r="G9" i="5"/>
  <c r="G8" i="5"/>
  <c r="D138" i="4"/>
  <c r="G9" i="12"/>
  <c r="D137" i="4"/>
  <c r="G8" i="12"/>
  <c r="C9" i="6"/>
  <c r="C8" i="6"/>
  <c r="C9" i="5"/>
  <c r="C8" i="5"/>
  <c r="D132" i="4"/>
  <c r="C9" i="12"/>
  <c r="D131" i="4"/>
  <c r="C8" i="12"/>
  <c r="E160" i="4"/>
  <c r="E159" i="4"/>
  <c r="C7" i="5"/>
  <c r="K352" i="4"/>
  <c r="K159" i="4"/>
  <c r="K269" i="4"/>
  <c r="G12" i="6"/>
  <c r="G13" i="6"/>
  <c r="C13" i="6"/>
  <c r="C12" i="6"/>
  <c r="G13" i="12"/>
  <c r="G12" i="12"/>
  <c r="C12" i="12"/>
  <c r="C13" i="12"/>
  <c r="G12" i="5"/>
  <c r="G13" i="5"/>
  <c r="C12" i="5"/>
  <c r="C13" i="5"/>
  <c r="K220" i="4"/>
  <c r="K147" i="4"/>
  <c r="K165" i="4"/>
  <c r="K171" i="4"/>
  <c r="K177" i="4"/>
  <c r="K196" i="4"/>
  <c r="K208" i="4"/>
  <c r="K141" i="4"/>
  <c r="K153" i="4"/>
  <c r="K135" i="4"/>
  <c r="K257" i="4"/>
  <c r="K214" i="4"/>
  <c r="K232" i="4"/>
  <c r="K263" i="4"/>
  <c r="K275" i="4"/>
  <c r="K281" i="4"/>
  <c r="K287" i="4"/>
  <c r="K202" i="4"/>
  <c r="K251" i="4"/>
  <c r="K321" i="4"/>
  <c r="K226" i="4"/>
  <c r="K245" i="4"/>
  <c r="K190" i="4"/>
  <c r="C37" i="5"/>
  <c r="C36" i="5"/>
  <c r="G27" i="5"/>
  <c r="G26" i="5"/>
  <c r="C27" i="6"/>
  <c r="C26" i="6"/>
  <c r="E105" i="4"/>
  <c r="E104" i="4"/>
  <c r="G27" i="6"/>
  <c r="G26" i="6"/>
  <c r="C37" i="6"/>
  <c r="C36" i="6"/>
  <c r="G37" i="6"/>
  <c r="G36" i="6"/>
  <c r="G37" i="5"/>
  <c r="G36" i="5"/>
  <c r="K104" i="4"/>
  <c r="K122" i="4"/>
  <c r="K92" i="4"/>
  <c r="C17" i="5"/>
  <c r="C16" i="5"/>
  <c r="G17" i="5"/>
  <c r="G16" i="5"/>
  <c r="G17" i="6"/>
  <c r="G16" i="6"/>
  <c r="C17" i="6"/>
  <c r="C16" i="6"/>
  <c r="K289" i="4"/>
  <c r="K234" i="4"/>
  <c r="K179" i="4"/>
  <c r="K98" i="4"/>
  <c r="K116" i="4"/>
  <c r="K110" i="4"/>
  <c r="G7" i="6"/>
  <c r="G6" i="6"/>
  <c r="C7" i="6"/>
  <c r="J6" i="5"/>
  <c r="B4" i="4"/>
  <c r="B1" i="5"/>
  <c r="K46" i="11"/>
  <c r="J46" i="11"/>
  <c r="D46" i="11"/>
  <c r="C46" i="11"/>
  <c r="K45" i="11"/>
  <c r="J45" i="11"/>
  <c r="D45" i="11"/>
  <c r="C45" i="11"/>
  <c r="K44" i="11"/>
  <c r="J44" i="11"/>
  <c r="D44" i="11"/>
  <c r="C44" i="11"/>
  <c r="K43" i="11"/>
  <c r="J43" i="11"/>
  <c r="D43" i="11"/>
  <c r="C43" i="11"/>
  <c r="K42" i="11"/>
  <c r="J42" i="11"/>
  <c r="D42" i="11"/>
  <c r="C42" i="11"/>
  <c r="K41" i="11"/>
  <c r="J41" i="11"/>
  <c r="D41" i="11"/>
  <c r="C41" i="11"/>
  <c r="K40" i="11"/>
  <c r="J40" i="11"/>
  <c r="D40" i="11"/>
  <c r="C40" i="11"/>
  <c r="K39" i="11"/>
  <c r="J39" i="11"/>
  <c r="D39" i="11"/>
  <c r="C39" i="11"/>
  <c r="K36" i="11"/>
  <c r="J36" i="11"/>
  <c r="D36" i="11"/>
  <c r="C36" i="11"/>
  <c r="K35" i="11"/>
  <c r="J35" i="11"/>
  <c r="D35" i="11"/>
  <c r="C35" i="11"/>
  <c r="K34" i="11"/>
  <c r="J34" i="11"/>
  <c r="D34" i="11"/>
  <c r="C34" i="11"/>
  <c r="K33" i="11"/>
  <c r="J33" i="11"/>
  <c r="D33" i="11"/>
  <c r="C33" i="11"/>
  <c r="K30" i="11"/>
  <c r="J30" i="11"/>
  <c r="D30" i="11"/>
  <c r="C30" i="11"/>
  <c r="K29" i="11"/>
  <c r="J29" i="11"/>
  <c r="D29" i="11"/>
  <c r="C29" i="11"/>
  <c r="K28" i="11"/>
  <c r="J28" i="11"/>
  <c r="D28" i="11"/>
  <c r="C28" i="11"/>
  <c r="K27" i="11"/>
  <c r="J27" i="11"/>
  <c r="D27" i="11"/>
  <c r="C27" i="11"/>
  <c r="K24" i="11"/>
  <c r="J24" i="11"/>
  <c r="D24" i="11"/>
  <c r="C24" i="11"/>
  <c r="K23" i="11"/>
  <c r="J23" i="11"/>
  <c r="D23" i="11"/>
  <c r="C23" i="11"/>
  <c r="K22" i="11"/>
  <c r="J22" i="11"/>
  <c r="D22" i="11"/>
  <c r="C22" i="11"/>
  <c r="K21" i="11"/>
  <c r="J21" i="11"/>
  <c r="D21" i="11"/>
  <c r="C21" i="11"/>
  <c r="K18" i="11"/>
  <c r="J18" i="11"/>
  <c r="D18" i="11"/>
  <c r="C18" i="11"/>
  <c r="K17" i="11"/>
  <c r="J17" i="11"/>
  <c r="D17" i="11"/>
  <c r="C17" i="11"/>
  <c r="K16" i="11"/>
  <c r="J16" i="11"/>
  <c r="D16" i="11"/>
  <c r="C16" i="11"/>
  <c r="K15" i="11"/>
  <c r="J15" i="11"/>
  <c r="D15" i="11"/>
  <c r="C15" i="11"/>
  <c r="K13" i="11"/>
  <c r="J13" i="11"/>
  <c r="D13" i="11"/>
  <c r="C13" i="11"/>
  <c r="K12" i="11"/>
  <c r="J12" i="11"/>
  <c r="D12" i="11"/>
  <c r="C12" i="11"/>
  <c r="K11" i="11"/>
  <c r="J11" i="11"/>
  <c r="D11" i="11"/>
  <c r="C11" i="11"/>
  <c r="K10" i="11"/>
  <c r="J10" i="11"/>
  <c r="D10" i="11"/>
  <c r="C10" i="11"/>
  <c r="K9" i="11"/>
  <c r="J9" i="11"/>
  <c r="D9" i="11"/>
  <c r="C9" i="11"/>
  <c r="K8" i="11"/>
  <c r="J8" i="11"/>
  <c r="D8" i="11"/>
  <c r="C8" i="11"/>
  <c r="K7" i="11"/>
  <c r="J7" i="11"/>
  <c r="D7" i="11"/>
  <c r="C7" i="11"/>
  <c r="K6" i="11"/>
  <c r="J6" i="11"/>
  <c r="D6" i="11"/>
  <c r="C6" i="11"/>
  <c r="C4" i="11"/>
  <c r="H4" i="11"/>
  <c r="E4" i="10"/>
  <c r="H65" i="4"/>
  <c r="K65" i="4"/>
  <c r="H53" i="4"/>
  <c r="K53" i="4"/>
  <c r="H34" i="4"/>
  <c r="K34" i="4"/>
  <c r="C4" i="8"/>
  <c r="C4" i="7"/>
  <c r="K124" i="4"/>
  <c r="K69" i="4"/>
  <c r="K46" i="7"/>
  <c r="J46" i="7"/>
  <c r="K45" i="7"/>
  <c r="J45" i="7"/>
  <c r="K44" i="7"/>
  <c r="J44" i="7"/>
  <c r="K43" i="7"/>
  <c r="J43" i="7"/>
  <c r="K42" i="7"/>
  <c r="J42" i="7"/>
  <c r="K41" i="7"/>
  <c r="J41" i="7"/>
  <c r="K40" i="7"/>
  <c r="J40" i="7"/>
  <c r="K39" i="7"/>
  <c r="J39" i="7"/>
  <c r="K36" i="7"/>
  <c r="J36" i="7"/>
  <c r="K35" i="7"/>
  <c r="J35" i="7"/>
  <c r="K34" i="7"/>
  <c r="J34" i="7"/>
  <c r="K33" i="7"/>
  <c r="J33" i="7"/>
  <c r="K30" i="7"/>
  <c r="J30" i="7"/>
  <c r="K29" i="7"/>
  <c r="J29" i="7"/>
  <c r="K28" i="7"/>
  <c r="J28" i="7"/>
  <c r="K27" i="7"/>
  <c r="J27" i="7"/>
  <c r="K24" i="7"/>
  <c r="J24" i="7"/>
  <c r="K23" i="7"/>
  <c r="J23" i="7"/>
  <c r="K22" i="7"/>
  <c r="J22" i="7"/>
  <c r="K21" i="7"/>
  <c r="J21" i="7"/>
  <c r="K18" i="7"/>
  <c r="J18" i="7"/>
  <c r="K17" i="7"/>
  <c r="J17" i="7"/>
  <c r="K16" i="7"/>
  <c r="J16" i="7"/>
  <c r="K15" i="7"/>
  <c r="J15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46" i="8"/>
  <c r="K45" i="8"/>
  <c r="K44" i="8"/>
  <c r="K43" i="8"/>
  <c r="K42" i="8"/>
  <c r="K41" i="8"/>
  <c r="K40" i="8"/>
  <c r="K39" i="8"/>
  <c r="K36" i="8"/>
  <c r="K35" i="8"/>
  <c r="K34" i="8"/>
  <c r="K33" i="8"/>
  <c r="K30" i="8"/>
  <c r="K29" i="8"/>
  <c r="K28" i="8"/>
  <c r="K27" i="8"/>
  <c r="K24" i="8"/>
  <c r="K23" i="8"/>
  <c r="K22" i="8"/>
  <c r="K21" i="8"/>
  <c r="K18" i="8"/>
  <c r="K17" i="8"/>
  <c r="K16" i="8"/>
  <c r="K15" i="8"/>
  <c r="K13" i="8"/>
  <c r="K12" i="8"/>
  <c r="K11" i="8"/>
  <c r="K10" i="8"/>
  <c r="K9" i="8"/>
  <c r="K8" i="8"/>
  <c r="K7" i="8"/>
  <c r="K6" i="8"/>
  <c r="J46" i="8"/>
  <c r="J45" i="8"/>
  <c r="J44" i="8"/>
  <c r="J43" i="8"/>
  <c r="J42" i="8"/>
  <c r="J41" i="8"/>
  <c r="J40" i="8"/>
  <c r="J39" i="8"/>
  <c r="J36" i="8"/>
  <c r="J35" i="8"/>
  <c r="J34" i="8"/>
  <c r="J33" i="8"/>
  <c r="J30" i="8"/>
  <c r="J29" i="8"/>
  <c r="J28" i="8"/>
  <c r="J27" i="8"/>
  <c r="J24" i="8"/>
  <c r="J23" i="8"/>
  <c r="J22" i="8"/>
  <c r="J21" i="8"/>
  <c r="J18" i="8"/>
  <c r="J17" i="8"/>
  <c r="J16" i="8"/>
  <c r="J15" i="8"/>
  <c r="J13" i="8"/>
  <c r="J12" i="8"/>
  <c r="J11" i="8"/>
  <c r="J10" i="8"/>
  <c r="J9" i="8"/>
  <c r="J8" i="8"/>
  <c r="J7" i="8"/>
  <c r="J6" i="8"/>
  <c r="D113" i="4"/>
  <c r="C37" i="12"/>
  <c r="D46" i="8"/>
  <c r="C46" i="8"/>
  <c r="D45" i="8"/>
  <c r="C45" i="8"/>
  <c r="D44" i="8"/>
  <c r="C44" i="8"/>
  <c r="D43" i="8"/>
  <c r="C43" i="8"/>
  <c r="D42" i="8"/>
  <c r="C42" i="8"/>
  <c r="D41" i="8"/>
  <c r="C41" i="8"/>
  <c r="D40" i="8"/>
  <c r="C40" i="8"/>
  <c r="D39" i="8"/>
  <c r="C39" i="8"/>
  <c r="D36" i="8"/>
  <c r="C36" i="8"/>
  <c r="D35" i="8"/>
  <c r="C35" i="8"/>
  <c r="D34" i="8"/>
  <c r="C34" i="8"/>
  <c r="D33" i="8"/>
  <c r="C33" i="8"/>
  <c r="D30" i="8"/>
  <c r="C30" i="8"/>
  <c r="D29" i="8"/>
  <c r="C29" i="8"/>
  <c r="D28" i="8"/>
  <c r="C28" i="8"/>
  <c r="D27" i="8"/>
  <c r="C27" i="8"/>
  <c r="D24" i="8"/>
  <c r="C24" i="8"/>
  <c r="D23" i="8"/>
  <c r="C23" i="8"/>
  <c r="D22" i="8"/>
  <c r="C22" i="8"/>
  <c r="D21" i="8"/>
  <c r="C21" i="8"/>
  <c r="D18" i="8"/>
  <c r="C18" i="8"/>
  <c r="D17" i="8"/>
  <c r="C17" i="8"/>
  <c r="D16" i="8"/>
  <c r="C16" i="8"/>
  <c r="D15" i="8"/>
  <c r="C15" i="8"/>
  <c r="D13" i="8"/>
  <c r="C13" i="8"/>
  <c r="D12" i="8"/>
  <c r="C12" i="8"/>
  <c r="D11" i="8"/>
  <c r="C11" i="8"/>
  <c r="D10" i="8"/>
  <c r="C10" i="8"/>
  <c r="D9" i="8"/>
  <c r="C9" i="8"/>
  <c r="D8" i="8"/>
  <c r="C8" i="8"/>
  <c r="D7" i="8"/>
  <c r="C7" i="8"/>
  <c r="D6" i="8"/>
  <c r="C6" i="8"/>
  <c r="H4" i="8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6" i="7"/>
  <c r="C36" i="7"/>
  <c r="D35" i="7"/>
  <c r="C35" i="7"/>
  <c r="D34" i="7"/>
  <c r="C34" i="7"/>
  <c r="D33" i="7"/>
  <c r="C33" i="7"/>
  <c r="D30" i="7"/>
  <c r="C30" i="7"/>
  <c r="D29" i="7"/>
  <c r="C29" i="7"/>
  <c r="D28" i="7"/>
  <c r="C28" i="7"/>
  <c r="D27" i="7"/>
  <c r="C27" i="7"/>
  <c r="D24" i="7"/>
  <c r="C24" i="7"/>
  <c r="D23" i="7"/>
  <c r="C23" i="7"/>
  <c r="D22" i="7"/>
  <c r="C22" i="7"/>
  <c r="D21" i="7"/>
  <c r="C21" i="7"/>
  <c r="D18" i="7"/>
  <c r="C18" i="7"/>
  <c r="D17" i="7"/>
  <c r="C17" i="7"/>
  <c r="D16" i="7"/>
  <c r="C16" i="7"/>
  <c r="D15" i="7"/>
  <c r="C15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H4" i="7"/>
  <c r="D112" i="4"/>
  <c r="C36" i="12"/>
  <c r="D101" i="4"/>
  <c r="C27" i="12"/>
  <c r="D100" i="4"/>
  <c r="C26" i="12"/>
  <c r="D27" i="5"/>
  <c r="D26" i="5"/>
  <c r="H7" i="5"/>
  <c r="H6" i="5"/>
  <c r="D119" i="4"/>
  <c r="G37" i="12"/>
  <c r="D118" i="4"/>
  <c r="G36" i="12"/>
  <c r="D107" i="4"/>
  <c r="G27" i="12"/>
  <c r="D106" i="4"/>
  <c r="G26" i="12"/>
  <c r="C27" i="5"/>
  <c r="C26" i="5"/>
  <c r="D95" i="4"/>
  <c r="G17" i="12"/>
  <c r="D94" i="4"/>
  <c r="G16" i="12"/>
  <c r="D89" i="4"/>
  <c r="C17" i="12"/>
  <c r="D88" i="4"/>
  <c r="C16" i="12"/>
  <c r="G7" i="5"/>
  <c r="G6" i="5"/>
  <c r="D83" i="4"/>
  <c r="G7" i="12"/>
  <c r="D82" i="4"/>
  <c r="G6" i="12"/>
  <c r="D77" i="4"/>
  <c r="C7" i="12"/>
  <c r="K40" i="4"/>
  <c r="K70" i="4"/>
  <c r="K71" i="4"/>
  <c r="K125" i="4"/>
  <c r="E4" i="3"/>
  <c r="E4" i="1"/>
  <c r="K126" i="4"/>
  <c r="K180" i="4"/>
  <c r="K181" i="4"/>
  <c r="K235" i="4"/>
  <c r="K236" i="4"/>
  <c r="K290" i="4"/>
  <c r="K291" i="4"/>
  <c r="K322" i="4"/>
  <c r="K323" i="4"/>
  <c r="K353" i="4"/>
  <c r="K354" i="4"/>
  <c r="J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U658600</author>
  </authors>
  <commentList>
    <comment ref="I14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1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2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26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3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3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49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53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57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61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65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76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78" authorId="0" shapeId="0" xr:uid="{00000000-0006-0000-0700-00000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80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82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84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86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88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90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92" authorId="0" shapeId="0" xr:uid="{00000000-0006-0000-0700-00001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94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96" authorId="0" shapeId="0" xr:uid="{00000000-0006-0000-0700-00001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98" authorId="0" shapeId="0" xr:uid="{00000000-0006-0000-0700-00001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00" authorId="0" shapeId="0" xr:uid="{00000000-0006-0000-0700-00001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02" authorId="0" shapeId="0" xr:uid="{00000000-0006-0000-0700-00001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04" authorId="0" shapeId="0" xr:uid="{00000000-0006-0000-0700-00001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06" authorId="0" shapeId="0" xr:uid="{00000000-0006-0000-0700-00001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08" authorId="0" shapeId="0" xr:uid="{00000000-0006-0000-0700-00001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10" authorId="0" shapeId="0" xr:uid="{00000000-0006-0000-0700-00001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12" authorId="0" shapeId="0" xr:uid="{00000000-0006-0000-0700-00001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14" authorId="0" shapeId="0" xr:uid="{00000000-0006-0000-0700-00002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16" authorId="0" shapeId="0" xr:uid="{00000000-0006-0000-0700-00002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18" authorId="0" shapeId="0" xr:uid="{00000000-0006-0000-0700-00002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20" authorId="0" shapeId="0" xr:uid="{00000000-0006-0000-0700-00002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22" authorId="0" shapeId="0" xr:uid="{00000000-0006-0000-0700-00002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31" authorId="0" shapeId="0" xr:uid="{00000000-0006-0000-0700-00002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33" authorId="0" shapeId="0" xr:uid="{00000000-0006-0000-0700-00002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35" authorId="0" shapeId="0" xr:uid="{00000000-0006-0000-0700-00002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37" authorId="0" shapeId="0" xr:uid="{00000000-0006-0000-0700-00002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39" authorId="0" shapeId="0" xr:uid="{00000000-0006-0000-0700-00002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41" authorId="0" shapeId="0" xr:uid="{00000000-0006-0000-0700-00002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43" authorId="0" shapeId="0" xr:uid="{00000000-0006-0000-0700-00002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45" authorId="0" shapeId="0" xr:uid="{00000000-0006-0000-0700-00002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47" authorId="0" shapeId="0" xr:uid="{00000000-0006-0000-0700-00002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49" authorId="0" shapeId="0" xr:uid="{00000000-0006-0000-0700-00002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51" authorId="0" shapeId="0" xr:uid="{00000000-0006-0000-0700-00002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53" authorId="0" shapeId="0" xr:uid="{00000000-0006-0000-0700-00003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55" authorId="0" shapeId="0" xr:uid="{00000000-0006-0000-0700-00003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57" authorId="0" shapeId="0" xr:uid="{00000000-0006-0000-0700-00003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59" authorId="0" shapeId="0" xr:uid="{00000000-0006-0000-0700-00003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61" authorId="0" shapeId="0" xr:uid="{00000000-0006-0000-0700-00003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63" authorId="0" shapeId="0" xr:uid="{00000000-0006-0000-0700-00003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65" authorId="0" shapeId="0" xr:uid="{00000000-0006-0000-0700-00003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67" authorId="0" shapeId="0" xr:uid="{00000000-0006-0000-0700-00003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69" authorId="0" shapeId="0" xr:uid="{00000000-0006-0000-0700-00003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71" authorId="0" shapeId="0" xr:uid="{00000000-0006-0000-0700-00003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73" authorId="0" shapeId="0" xr:uid="{00000000-0006-0000-0700-00003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75" authorId="0" shapeId="0" xr:uid="{00000000-0006-0000-0700-00003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77" authorId="0" shapeId="0" xr:uid="{00000000-0006-0000-0700-00003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86" authorId="0" shapeId="0" xr:uid="{00000000-0006-0000-0700-00003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88" authorId="0" shapeId="0" xr:uid="{00000000-0006-0000-0700-00003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90" authorId="0" shapeId="0" xr:uid="{00000000-0006-0000-0700-00003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92" authorId="0" shapeId="0" xr:uid="{00000000-0006-0000-0700-00004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194" authorId="0" shapeId="0" xr:uid="{00000000-0006-0000-0700-00004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196" authorId="0" shapeId="0" xr:uid="{00000000-0006-0000-0700-00004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198" authorId="0" shapeId="0" xr:uid="{00000000-0006-0000-0700-00004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00" authorId="0" shapeId="0" xr:uid="{00000000-0006-0000-0700-00004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02" authorId="0" shapeId="0" xr:uid="{00000000-0006-0000-0700-00004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04" authorId="0" shapeId="0" xr:uid="{00000000-0006-0000-0700-00004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06" authorId="0" shapeId="0" xr:uid="{00000000-0006-0000-0700-00004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08" authorId="0" shapeId="0" xr:uid="{00000000-0006-0000-0700-00004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10" authorId="0" shapeId="0" xr:uid="{00000000-0006-0000-0700-00004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12" authorId="0" shapeId="0" xr:uid="{00000000-0006-0000-0700-00004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14" authorId="0" shapeId="0" xr:uid="{00000000-0006-0000-0700-00004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16" authorId="0" shapeId="0" xr:uid="{00000000-0006-0000-0700-00004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18" authorId="0" shapeId="0" xr:uid="{00000000-0006-0000-0700-00004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20" authorId="0" shapeId="0" xr:uid="{00000000-0006-0000-0700-00004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22" authorId="0" shapeId="0" xr:uid="{00000000-0006-0000-0700-00004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24" authorId="0" shapeId="0" xr:uid="{00000000-0006-0000-0700-00005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26" authorId="0" shapeId="0" xr:uid="{00000000-0006-0000-0700-00005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28" authorId="0" shapeId="0" xr:uid="{00000000-0006-0000-0700-00005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30" authorId="0" shapeId="0" xr:uid="{00000000-0006-0000-0700-00005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32" authorId="0" shapeId="0" xr:uid="{00000000-0006-0000-0700-00005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41" authorId="0" shapeId="0" xr:uid="{00000000-0006-0000-0700-00005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43" authorId="0" shapeId="0" xr:uid="{00000000-0006-0000-0700-00005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45" authorId="0" shapeId="0" xr:uid="{00000000-0006-0000-0700-00005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47" authorId="0" shapeId="0" xr:uid="{00000000-0006-0000-0700-00005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49" authorId="0" shapeId="0" xr:uid="{00000000-0006-0000-0700-00005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51" authorId="0" shapeId="0" xr:uid="{00000000-0006-0000-0700-00005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53" authorId="0" shapeId="0" xr:uid="{00000000-0006-0000-0700-00005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55" authorId="0" shapeId="0" xr:uid="{00000000-0006-0000-0700-00005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57" authorId="0" shapeId="0" xr:uid="{00000000-0006-0000-0700-00005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59" authorId="0" shapeId="0" xr:uid="{00000000-0006-0000-0700-00005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61" authorId="0" shapeId="0" xr:uid="{00000000-0006-0000-0700-00005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63" authorId="0" shapeId="0" xr:uid="{00000000-0006-0000-0700-00006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65" authorId="0" shapeId="0" xr:uid="{00000000-0006-0000-0700-00006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67" authorId="0" shapeId="0" xr:uid="{00000000-0006-0000-0700-00006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69" authorId="0" shapeId="0" xr:uid="{00000000-0006-0000-0700-00006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71" authorId="0" shapeId="0" xr:uid="{00000000-0006-0000-0700-00006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73" authorId="0" shapeId="0" xr:uid="{00000000-0006-0000-0700-00006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75" authorId="0" shapeId="0" xr:uid="{00000000-0006-0000-0700-00006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77" authorId="0" shapeId="0" xr:uid="{00000000-0006-0000-0700-00006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79" authorId="0" shapeId="0" xr:uid="{00000000-0006-0000-0700-00006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81" authorId="0" shapeId="0" xr:uid="{00000000-0006-0000-0700-000069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83" authorId="0" shapeId="0" xr:uid="{00000000-0006-0000-0700-00006A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J285" authorId="0" shapeId="0" xr:uid="{00000000-0006-0000-0700-00006B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K287" authorId="0" shapeId="0" xr:uid="{00000000-0006-0000-0700-00006C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and totalled for each team by event.</t>
        </r>
      </text>
    </comment>
    <comment ref="I297" authorId="0" shapeId="0" xr:uid="{00000000-0006-0000-0700-00006D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301" authorId="0" shapeId="0" xr:uid="{00000000-0006-0000-0700-00006E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305" authorId="0" shapeId="0" xr:uid="{00000000-0006-0000-0700-00006F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309" authorId="0" shapeId="0" xr:uid="{00000000-0006-0000-0700-000070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313" authorId="0" shapeId="0" xr:uid="{00000000-0006-0000-0700-000071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317" authorId="0" shapeId="0" xr:uid="{00000000-0006-0000-0700-000072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328" authorId="0" shapeId="0" xr:uid="{00000000-0006-0000-0700-00007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332" authorId="0" shapeId="0" xr:uid="{00000000-0006-0000-0700-000074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336" authorId="0" shapeId="0" xr:uid="{00000000-0006-0000-0700-000075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I340" authorId="0" shapeId="0" xr:uid="{00000000-0006-0000-0700-000076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J344" authorId="0" shapeId="0" xr:uid="{00000000-0006-0000-0700-000077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  <comment ref="K348" authorId="0" shapeId="0" xr:uid="{00000000-0006-0000-0700-000078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Points automatically calculated based on place</t>
        </r>
      </text>
    </comment>
  </commentList>
</comments>
</file>

<file path=xl/sharedStrings.xml><?xml version="1.0" encoding="utf-8"?>
<sst xmlns="http://schemas.openxmlformats.org/spreadsheetml/2006/main" count="1283" uniqueCount="309">
  <si>
    <t>FOREST FEAST AQUASPRINT MARSHALLING SHEET</t>
  </si>
  <si>
    <t>Event</t>
  </si>
  <si>
    <t>Lane 2</t>
  </si>
  <si>
    <t>Lane 4</t>
  </si>
  <si>
    <t>Lane 6</t>
  </si>
  <si>
    <t>Group A Medley Relay</t>
  </si>
  <si>
    <t>Group B Medley Relay</t>
  </si>
  <si>
    <t>Group C Medley Relay</t>
  </si>
  <si>
    <t>Group D Medley Relay</t>
  </si>
  <si>
    <t>Group A Freestyle Relay</t>
  </si>
  <si>
    <t>Group B Freestyle Relay</t>
  </si>
  <si>
    <t>Group C Freestyle Relay</t>
  </si>
  <si>
    <t>Group D Freestyle Relay</t>
  </si>
  <si>
    <t>Lane 3</t>
  </si>
  <si>
    <t>Lane 5</t>
  </si>
  <si>
    <t>Final Score:</t>
  </si>
  <si>
    <t>Points</t>
  </si>
  <si>
    <r>
      <rPr>
        <b/>
        <sz val="10"/>
        <color indexed="8"/>
        <rFont val="Arial"/>
        <family val="2"/>
      </rPr>
      <t>Date:</t>
    </r>
    <r>
      <rPr>
        <sz val="10"/>
        <color indexed="8"/>
        <rFont val="Arial"/>
        <family val="2"/>
      </rPr>
      <t xml:space="preserve"> </t>
    </r>
  </si>
  <si>
    <r>
      <rPr>
        <b/>
        <sz val="10"/>
        <color indexed="8"/>
        <rFont val="Arial"/>
        <family val="2"/>
      </rPr>
      <t>Venue:</t>
    </r>
    <r>
      <rPr>
        <sz val="10"/>
        <color indexed="8"/>
        <rFont val="Arial"/>
        <family val="2"/>
      </rPr>
      <t xml:space="preserve">  </t>
    </r>
  </si>
  <si>
    <t>MEDLEY TEAM RELAY</t>
  </si>
  <si>
    <t>Club</t>
  </si>
  <si>
    <t>Lane</t>
  </si>
  <si>
    <t>Swimmer</t>
  </si>
  <si>
    <t>Time</t>
  </si>
  <si>
    <t>Place</t>
  </si>
  <si>
    <t>A</t>
  </si>
  <si>
    <t>B</t>
  </si>
  <si>
    <t>C</t>
  </si>
  <si>
    <t>D</t>
  </si>
  <si>
    <t>Sub total</t>
  </si>
  <si>
    <t>BACKSTROKE</t>
  </si>
  <si>
    <t>GIRLS</t>
  </si>
  <si>
    <t>BOYS</t>
  </si>
  <si>
    <t>Sub tot</t>
  </si>
  <si>
    <t>B/F tot</t>
  </si>
  <si>
    <t xml:space="preserve">Total </t>
  </si>
  <si>
    <t>BREASTSTROKE</t>
  </si>
  <si>
    <t>BUTTERFLY</t>
  </si>
  <si>
    <t>FREESTYLE</t>
  </si>
  <si>
    <t>FREESTYLE TEAM RELAY</t>
  </si>
  <si>
    <t>Total</t>
  </si>
  <si>
    <t>FRONT CRAWL</t>
  </si>
  <si>
    <t>Girls Gp A Back</t>
  </si>
  <si>
    <t>Girls Gp B Back</t>
  </si>
  <si>
    <t>Girls Gp C Back</t>
  </si>
  <si>
    <t>Girls Gp D Back</t>
  </si>
  <si>
    <t>Girls Gp A Breast</t>
  </si>
  <si>
    <t>Girls Gp B Breast</t>
  </si>
  <si>
    <t>Girls Gp C Breast</t>
  </si>
  <si>
    <t>Girls Gp D Breast</t>
  </si>
  <si>
    <t>Girls Gp A Fly</t>
  </si>
  <si>
    <t>Girls Gp B Fly</t>
  </si>
  <si>
    <t>Girls Gp C Fly</t>
  </si>
  <si>
    <t>Girls Gp D Fly</t>
  </si>
  <si>
    <t>Girls Gp A Free</t>
  </si>
  <si>
    <t>Girls Gp B Free</t>
  </si>
  <si>
    <t>Girls Gp C Free</t>
  </si>
  <si>
    <t>Girls Gp D Free</t>
  </si>
  <si>
    <t>Boys Gp A Back</t>
  </si>
  <si>
    <t>Boys Gp B Back</t>
  </si>
  <si>
    <t>Boys Gp C Back</t>
  </si>
  <si>
    <t>Boys Gp D Back</t>
  </si>
  <si>
    <t>Boys Gp A Breast</t>
  </si>
  <si>
    <t>Boys Gp B Breast</t>
  </si>
  <si>
    <t>Boys Gp C Breast</t>
  </si>
  <si>
    <t>Boys Gp D Breast</t>
  </si>
  <si>
    <t>Boys Gp A Fly</t>
  </si>
  <si>
    <t>Boys Gp B Fly</t>
  </si>
  <si>
    <t>Boys Gp C Fly</t>
  </si>
  <si>
    <t>Boys Gp D Fly</t>
  </si>
  <si>
    <t>Boys Gp A Free</t>
  </si>
  <si>
    <t>Boys Gp B Free</t>
  </si>
  <si>
    <t>Boys Gp C Free</t>
  </si>
  <si>
    <t>Boys Gp D Free</t>
  </si>
  <si>
    <t>No.</t>
  </si>
  <si>
    <t>Group A Girls</t>
  </si>
  <si>
    <t>Group A Boys</t>
  </si>
  <si>
    <t>Group B Girls</t>
  </si>
  <si>
    <t>Group B Boys</t>
  </si>
  <si>
    <t>Group C Girls</t>
  </si>
  <si>
    <t>Group C Boys</t>
  </si>
  <si>
    <t>Group D Girls</t>
  </si>
  <si>
    <t>Group D Boys</t>
  </si>
  <si>
    <t>G Gp A Back</t>
  </si>
  <si>
    <t>G Gp B Back</t>
  </si>
  <si>
    <t>G Gp C Back</t>
  </si>
  <si>
    <t>G Gp D Back</t>
  </si>
  <si>
    <t>G Gp A Fly</t>
  </si>
  <si>
    <t>G Gp B Fly</t>
  </si>
  <si>
    <t>G Gp C Fly</t>
  </si>
  <si>
    <t>G Gp D Fly</t>
  </si>
  <si>
    <t>G Gp A Free</t>
  </si>
  <si>
    <t>G Gp B Free</t>
  </si>
  <si>
    <t>G Gp C Free</t>
  </si>
  <si>
    <t>G Gp D Free</t>
  </si>
  <si>
    <t>Total after Medley Relays</t>
  </si>
  <si>
    <t>Total after Back Crawl</t>
  </si>
  <si>
    <t>Total after Breaststroke</t>
  </si>
  <si>
    <t>Total after Butterfly</t>
  </si>
  <si>
    <t>Total after Front Crawl</t>
  </si>
  <si>
    <t>Recording Sheet</t>
  </si>
  <si>
    <t>Descriptions/Instructions</t>
  </si>
  <si>
    <t>Print out only.
No action required. This sheet will be automatically updated from the RecordingSheet.</t>
  </si>
  <si>
    <t>Subtotal for Girls Back</t>
  </si>
  <si>
    <t>Subtotal for Boys Back</t>
  </si>
  <si>
    <t>G Gp A Brs</t>
  </si>
  <si>
    <t>G Gp B Brs</t>
  </si>
  <si>
    <t>G Gp C Brs</t>
  </si>
  <si>
    <t>G Gp D Brs</t>
  </si>
  <si>
    <t>Boys Gp A Brs</t>
  </si>
  <si>
    <t>Boys Gp B Brs</t>
  </si>
  <si>
    <t>Boys Gp C Brs</t>
  </si>
  <si>
    <t>Boys Gp D Brs</t>
  </si>
  <si>
    <t>Subtotal for Girls Brs</t>
  </si>
  <si>
    <t>Subtotal for Boys Brs</t>
  </si>
  <si>
    <t>Subtotal for Boys Fly</t>
  </si>
  <si>
    <t>Subtotal for Boys Free</t>
  </si>
  <si>
    <t>Subtotal for Girls Free</t>
  </si>
  <si>
    <t>Subtotal for Girls Fly</t>
  </si>
  <si>
    <t>T1</t>
  </si>
  <si>
    <t>T2</t>
  </si>
  <si>
    <t>T3</t>
  </si>
  <si>
    <t>Team 2:</t>
  </si>
  <si>
    <t>Team 1:</t>
  </si>
  <si>
    <t>Team 3:</t>
  </si>
  <si>
    <t>Team1</t>
  </si>
  <si>
    <t>Team2</t>
  </si>
  <si>
    <t>Team3</t>
  </si>
  <si>
    <t>Team1Analysis</t>
  </si>
  <si>
    <t>Team2Analysis</t>
  </si>
  <si>
    <t>Team3Analysis</t>
  </si>
  <si>
    <t>Team1 - Tracking</t>
  </si>
  <si>
    <t>Team2 - Tracking</t>
  </si>
  <si>
    <t>Team3 - Tracking</t>
  </si>
  <si>
    <t>Medley</t>
  </si>
  <si>
    <t>Freestyle</t>
  </si>
  <si>
    <t>Lane 7</t>
  </si>
  <si>
    <t>Subtotal</t>
  </si>
  <si>
    <t>B/F</t>
  </si>
  <si>
    <t>Aurora Aquatic Centre</t>
  </si>
  <si>
    <t>AQUASPRINT JUNIOR SWIM LEAGUE FINAL GALA SCORING SHEET</t>
  </si>
  <si>
    <t>Team1 Swimmers Names will automatically fill in from the Team1 Sheet. 
Print out and use at Gala to have a rough indication of scores as the gala progresses.</t>
  </si>
  <si>
    <t>Team2 Swimmers Names will automatically fill in from the Team2 Sheet. 
Print out and use at Gala to have a rough indication of scores as the gala progresses.</t>
  </si>
  <si>
    <t>Team3 Swimmers Names will automatically fill in from the Team3 Sheet. 
Print out and use at Gala to have a rough indication of scores as the gala progresses.</t>
  </si>
  <si>
    <t>FOREST FEAST AQUASPRINT TRACKING SHEET</t>
  </si>
  <si>
    <t>Enter Team1 Swimmers in this sheet. Remember to put Team Name in column C, row 4.
Print out for marshals.</t>
  </si>
  <si>
    <t>Enter Team2 Swimmers in this sheet. Remember to put Team Name in column C, row 4.
Print out for marshals.</t>
  </si>
  <si>
    <t>Enter Team3  Swimmers in this sheet. Remember to put Team Name in column C, row 4.
Print out for marshals.</t>
  </si>
  <si>
    <t>Notes:</t>
  </si>
  <si>
    <t>Joint 1st - 2 swimmers</t>
  </si>
  <si>
    <t>Joint 2nd - 2 swimmers</t>
  </si>
  <si>
    <t>Joint 3rd - 2 swimmers</t>
  </si>
  <si>
    <t>Next placings are 3rd, 4th, 5th &amp; 6th</t>
  </si>
  <si>
    <t>Next placings are 4th, 5th &amp; 6th</t>
  </si>
  <si>
    <t>Next placings are 5th &amp; 6th</t>
  </si>
  <si>
    <t>to each swimmer</t>
  </si>
  <si>
    <t>Joint 4th - 2 swimmers</t>
  </si>
  <si>
    <t>Next placing is 6th</t>
  </si>
  <si>
    <t>No more placings</t>
  </si>
  <si>
    <t>Joint 5th - 2 swimmers</t>
  </si>
  <si>
    <t>In the unlikely event of 3 swimmers having the same time,</t>
  </si>
  <si>
    <t>split the 3 points evenly for the 3 swimmers</t>
  </si>
  <si>
    <t>Joint 1st - 3 swimmers</t>
  </si>
  <si>
    <t>Joint 2nd - 3 swimmers</t>
  </si>
  <si>
    <t>Joint 3rd - 3 swimmers</t>
  </si>
  <si>
    <t>Joint 4th - 3 swimmers</t>
  </si>
  <si>
    <t>In the event of 2 swimmers having the same time,</t>
  </si>
  <si>
    <t>Team Names and Swimmers names will automatically fill in from the Team1, Team2, Team3 sheets.
Relays - fill in times and places.
Individuals - fill in times and places (you need only fill in places 1 to 6) and the points will be automatically calculated and totalled for each team for each event. In the case of joint places add points and divide by no. of swimmers, e.g. 2 x 1st place - then take points for 1st and 2nd (6 and 5) and divide by 2 - to give each team 5.5 points each. See Notes on sheet.</t>
  </si>
  <si>
    <t>Meave Murphy</t>
  </si>
  <si>
    <t>Ross Gray</t>
  </si>
  <si>
    <t>Harry McGlashen</t>
  </si>
  <si>
    <t>Amelia Stone</t>
  </si>
  <si>
    <t>Luke Coleman</t>
  </si>
  <si>
    <t>Zara Hopkins</t>
  </si>
  <si>
    <t>Poppy Jeffers</t>
  </si>
  <si>
    <t xml:space="preserve">Charlie Williamson </t>
  </si>
  <si>
    <t>Sinead McQuillan</t>
  </si>
  <si>
    <t>Cillan Hall</t>
  </si>
  <si>
    <t>Ben Bickerstaffe</t>
  </si>
  <si>
    <t>Evie Lowry</t>
  </si>
  <si>
    <t>Alfie Shawe</t>
  </si>
  <si>
    <t>Tom Keys</t>
  </si>
  <si>
    <t>Emily Coleman</t>
  </si>
  <si>
    <t xml:space="preserve">Isobel Lamont </t>
  </si>
  <si>
    <t>Harry McGlashan</t>
  </si>
  <si>
    <t xml:space="preserve">Amelia Hughes </t>
  </si>
  <si>
    <t xml:space="preserve">Rory Stanley </t>
  </si>
  <si>
    <t>Benjamin Bickerstaffe</t>
  </si>
  <si>
    <t xml:space="preserve">Niamh Hughes </t>
  </si>
  <si>
    <t xml:space="preserve">Adam Stanley </t>
  </si>
  <si>
    <t>Lara Stewart</t>
  </si>
  <si>
    <t xml:space="preserve">Patrick Munce </t>
  </si>
  <si>
    <t xml:space="preserve">Erin McGuigan </t>
  </si>
  <si>
    <t xml:space="preserve">Sinead McQuillan </t>
  </si>
  <si>
    <t>Chrissy Hopkins</t>
  </si>
  <si>
    <t>Annie Poots</t>
  </si>
  <si>
    <t xml:space="preserve">Tilly Bracken </t>
  </si>
  <si>
    <t>Charlie Williamson</t>
  </si>
  <si>
    <t>Katie Jeffers</t>
  </si>
  <si>
    <t>Yzabelle Pacia</t>
  </si>
  <si>
    <t xml:space="preserve">Tom Keys </t>
  </si>
  <si>
    <t>Erin Lowry</t>
  </si>
  <si>
    <t xml:space="preserve">Erin Fitzpatrick </t>
  </si>
  <si>
    <t xml:space="preserve">Amelia Stone </t>
  </si>
  <si>
    <t>Lane 1</t>
  </si>
  <si>
    <t>Lisburn</t>
  </si>
  <si>
    <t>Coleraine</t>
  </si>
  <si>
    <t>Limavady</t>
  </si>
  <si>
    <t>Sarah Campbell</t>
  </si>
  <si>
    <t>Robyn Little</t>
  </si>
  <si>
    <t>Alfie Grocott</t>
  </si>
  <si>
    <t>Humphry Spence</t>
  </si>
  <si>
    <t>Alice Boyle</t>
  </si>
  <si>
    <t>Campbell Smyth</t>
  </si>
  <si>
    <t>Lewis Hawe</t>
  </si>
  <si>
    <t>Olivia Jenkinson</t>
  </si>
  <si>
    <t>Cameron Kennedy-Farr</t>
  </si>
  <si>
    <t xml:space="preserve">Daniel Eakin </t>
  </si>
  <si>
    <t>Nathan Elliott</t>
  </si>
  <si>
    <t>Lily Jones</t>
  </si>
  <si>
    <t>Eida Greene</t>
  </si>
  <si>
    <t>Kioni Little</t>
  </si>
  <si>
    <t>Chloe-May Callaghan</t>
  </si>
  <si>
    <t>Riona Cassidy</t>
  </si>
  <si>
    <t>Olivia Higgins</t>
  </si>
  <si>
    <t>Erin Isley</t>
  </si>
  <si>
    <t>Kitty McClarty</t>
  </si>
  <si>
    <t>Isla McClelland</t>
  </si>
  <si>
    <t>Eva Marran</t>
  </si>
  <si>
    <t>Mairi Clements</t>
  </si>
  <si>
    <t>Lauren Murray</t>
  </si>
  <si>
    <t>Emma Price</t>
  </si>
  <si>
    <t>Rose McKenna</t>
  </si>
  <si>
    <t>Dara Cassidy</t>
  </si>
  <si>
    <t>Reuben Turbitt</t>
  </si>
  <si>
    <t>Noah McClelland</t>
  </si>
  <si>
    <t>James Hegarty</t>
  </si>
  <si>
    <t>Fionnan Duffin</t>
  </si>
  <si>
    <t>Joshua Hawe</t>
  </si>
  <si>
    <t>Ethan Turbitt</t>
  </si>
  <si>
    <t>Isaac Duddy</t>
  </si>
  <si>
    <t>Daniel Eakin</t>
  </si>
  <si>
    <t xml:space="preserve">Campbell Smyth </t>
  </si>
  <si>
    <t>Tom Cormie</t>
  </si>
  <si>
    <t>Henry Connell</t>
  </si>
  <si>
    <t>Myia Mc Clamont</t>
  </si>
  <si>
    <t>Fiona O Neill</t>
  </si>
  <si>
    <t>Molly Austin</t>
  </si>
  <si>
    <t>Jack Mc Gookin</t>
  </si>
  <si>
    <t>Caelyn O Connor</t>
  </si>
  <si>
    <t>Harry Butcher</t>
  </si>
  <si>
    <t>Katie Keown</t>
  </si>
  <si>
    <t>Alice Caldwell</t>
  </si>
  <si>
    <t>Kevin Mc Macken</t>
  </si>
  <si>
    <t>Toby Dinsmore</t>
  </si>
  <si>
    <t>Cody Blair</t>
  </si>
  <si>
    <t>Emma Gallagher</t>
  </si>
  <si>
    <t>Eva Campbell</t>
  </si>
  <si>
    <t>Amy Mc Gurk</t>
  </si>
  <si>
    <t>Alexander Blaha</t>
  </si>
  <si>
    <t>Anna Mc Gookin</t>
  </si>
  <si>
    <t>Cailean Gallagher</t>
  </si>
  <si>
    <t>Lewis Robinson</t>
  </si>
  <si>
    <t>Ellie Lundy</t>
  </si>
  <si>
    <t>Brooke Mc Clamont</t>
  </si>
  <si>
    <t>Oliver Smith</t>
  </si>
  <si>
    <t>Joshua Hunt</t>
  </si>
  <si>
    <t>Emily Butcher</t>
  </si>
  <si>
    <t>Abbi Craig</t>
  </si>
  <si>
    <t>Ben Dinsmore</t>
  </si>
  <si>
    <t>Amelia Kingston</t>
  </si>
  <si>
    <t>David Mc Curyy</t>
  </si>
  <si>
    <t>Darragh Mc Cann-Kennedy</t>
  </si>
  <si>
    <t>Niamh Mc Henry</t>
  </si>
  <si>
    <t>Erin Callaghan</t>
  </si>
  <si>
    <t>Jude Williams</t>
  </si>
  <si>
    <t>Eoin Mc Alinden</t>
  </si>
  <si>
    <t>Sam Staats Howard</t>
  </si>
  <si>
    <t>Rose Mc Laughlin</t>
  </si>
  <si>
    <t>Caleb Craig</t>
  </si>
  <si>
    <t>Cara Gallagher</t>
  </si>
  <si>
    <t>Annaleece Heatherington</t>
  </si>
  <si>
    <t>Tom Mc Shane</t>
  </si>
  <si>
    <t>Sofie Halcrow</t>
  </si>
  <si>
    <t>Ella Laird</t>
  </si>
  <si>
    <t>Ollie Mc Macken</t>
  </si>
  <si>
    <t>1.30.50</t>
  </si>
  <si>
    <t>1.32.34</t>
  </si>
  <si>
    <t>1.40.94</t>
  </si>
  <si>
    <t>1.20.97</t>
  </si>
  <si>
    <t>1.21.38</t>
  </si>
  <si>
    <t>1.23.28</t>
  </si>
  <si>
    <t>1.15.28</t>
  </si>
  <si>
    <t>1.16.28</t>
  </si>
  <si>
    <t>1.19.94</t>
  </si>
  <si>
    <t>1.10.32</t>
  </si>
  <si>
    <t>1.13.72</t>
  </si>
  <si>
    <t>1.19.84</t>
  </si>
  <si>
    <t>1.19.50</t>
  </si>
  <si>
    <t>1.21.00</t>
  </si>
  <si>
    <t>1.31.86</t>
  </si>
  <si>
    <t>1.11.36</t>
  </si>
  <si>
    <t>1.11.50</t>
  </si>
  <si>
    <t>1.14.04</t>
  </si>
  <si>
    <t>1.11.97</t>
  </si>
  <si>
    <t>1.07.00</t>
  </si>
  <si>
    <t>1.07.48</t>
  </si>
  <si>
    <t>1.06.38</t>
  </si>
  <si>
    <t>1.07.29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</si>
</sst>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2"/>
      <color indexed="8"/>
      <name val="Verdana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16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"/>
      <name val="Verdana"/>
      <family val="2"/>
    </font>
    <font>
      <sz val="12"/>
      <color indexed="8"/>
      <name val="Verdana"/>
      <family val="2"/>
    </font>
    <font>
      <b/>
      <u/>
      <sz val="12"/>
      <color indexed="8"/>
      <name val="Arial"/>
      <family val="2"/>
    </font>
    <font>
      <b/>
      <sz val="14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08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medium">
        <color indexed="8"/>
      </left>
      <right/>
      <top/>
      <bottom/>
      <diagonal/>
    </border>
    <border>
      <left/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10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0"/>
      </left>
      <right/>
      <top style="medium">
        <color indexed="8"/>
      </top>
      <bottom/>
      <diagonal/>
    </border>
    <border>
      <left style="thin">
        <color indexed="10"/>
      </left>
      <right/>
      <top/>
      <bottom/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 diagonalUp="1" diagonalDown="1">
      <left style="thin">
        <color indexed="8"/>
      </left>
      <right style="medium">
        <color indexed="8"/>
      </right>
      <top/>
      <bottom/>
      <diagonal style="thin">
        <color indexed="8"/>
      </diagonal>
    </border>
    <border diagonalUp="1" diagonalDown="1">
      <left style="thin">
        <color indexed="8"/>
      </left>
      <right style="medium">
        <color indexed="8"/>
      </right>
      <top/>
      <bottom style="thin">
        <color indexed="8"/>
      </bottom>
      <diagonal style="thin">
        <color indexed="8"/>
      </diagonal>
    </border>
    <border diagonalUp="1" diagonalDown="1">
      <left style="medium">
        <color indexed="8"/>
      </left>
      <right style="thin">
        <color indexed="8"/>
      </right>
      <top style="thin">
        <color indexed="8"/>
      </top>
      <bottom/>
      <diagonal style="thin">
        <color indexed="8"/>
      </diagonal>
    </border>
    <border diagonalUp="1" diagonalDown="1">
      <left style="medium">
        <color indexed="8"/>
      </left>
      <right style="thin">
        <color indexed="8"/>
      </right>
      <top/>
      <bottom/>
      <diagonal style="thin">
        <color indexed="8"/>
      </diagonal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 diagonalUp="1">
      <left style="medium">
        <color indexed="8"/>
      </left>
      <right style="medium">
        <color indexed="8"/>
      </right>
      <top style="medium">
        <color indexed="8"/>
      </top>
      <bottom/>
      <diagonal style="thin">
        <color indexed="8"/>
      </diagonal>
    </border>
    <border diagonalUp="1">
      <left style="medium">
        <color indexed="8"/>
      </left>
      <right style="medium">
        <color indexed="8"/>
      </right>
      <top/>
      <bottom/>
      <diagonal style="thin">
        <color indexed="8"/>
      </diagonal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8"/>
      </left>
      <right style="thin">
        <color indexed="8"/>
      </right>
      <top/>
      <bottom/>
      <diagonal style="thin">
        <color indexed="8"/>
      </diagonal>
    </border>
    <border diagonalUp="1" diagonalDown="1">
      <left style="medium">
        <color indexed="8"/>
      </left>
      <right/>
      <top style="thin">
        <color indexed="8"/>
      </top>
      <bottom/>
      <diagonal style="thin">
        <color indexed="8"/>
      </diagonal>
    </border>
    <border diagonalUp="1" diagonalDown="1">
      <left style="medium">
        <color indexed="8"/>
      </left>
      <right/>
      <top/>
      <bottom/>
      <diagonal style="thin">
        <color indexed="8"/>
      </diagonal>
    </border>
    <border diagonalUp="1" diagonalDown="1">
      <left style="medium">
        <color indexed="8"/>
      </left>
      <right/>
      <top/>
      <bottom style="medium">
        <color indexed="8"/>
      </bottom>
      <diagonal style="thin">
        <color indexed="8"/>
      </diagonal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 diagonalUp="1" diagonalDown="1">
      <left/>
      <right style="medium">
        <color indexed="8"/>
      </right>
      <top style="medium">
        <color indexed="8"/>
      </top>
      <bottom/>
      <diagonal style="thin">
        <color indexed="8"/>
      </diagonal>
    </border>
    <border diagonalUp="1" diagonalDown="1">
      <left/>
      <right style="medium">
        <color indexed="8"/>
      </right>
      <top/>
      <bottom/>
      <diagonal style="thin">
        <color indexed="8"/>
      </diagonal>
    </border>
    <border diagonalUp="1" diagonalDown="1">
      <left style="thin">
        <color indexed="8"/>
      </left>
      <right style="thin">
        <color indexed="8"/>
      </right>
      <top style="thin">
        <color indexed="8"/>
      </top>
      <bottom/>
      <diagonal style="thin">
        <color indexed="8"/>
      </diagonal>
    </border>
    <border diagonalUp="1" diagonalDown="1">
      <left style="thin">
        <color indexed="8"/>
      </left>
      <right style="thin">
        <color indexed="8"/>
      </right>
      <top/>
      <bottom style="medium">
        <color indexed="8"/>
      </bottom>
      <diagonal style="thin">
        <color indexed="8"/>
      </diagonal>
    </border>
    <border diagonalUp="1" diagonalDown="1">
      <left style="thin">
        <color indexed="8"/>
      </left>
      <right style="thin">
        <color indexed="8"/>
      </right>
      <top style="medium">
        <color indexed="8"/>
      </top>
      <bottom/>
      <diagonal style="thin">
        <color indexed="8"/>
      </diagonal>
    </border>
    <border diagonalUp="1" diagonalDown="1">
      <left style="thin">
        <color indexed="8"/>
      </left>
      <right style="thin">
        <color indexed="8"/>
      </right>
      <top/>
      <bottom style="thin">
        <color indexed="8"/>
      </bottom>
      <diagonal style="thin">
        <color indexed="8"/>
      </diagonal>
    </border>
    <border diagonalUp="1" diagonalDown="1">
      <left style="medium">
        <color indexed="8"/>
      </left>
      <right style="thin">
        <color indexed="8"/>
      </right>
      <top/>
      <bottom style="thin">
        <color indexed="8"/>
      </bottom>
      <diagonal style="thin">
        <color indexed="8"/>
      </diagonal>
    </border>
    <border diagonalUp="1" diagonalDown="1">
      <left style="thin">
        <color indexed="8"/>
      </left>
      <right style="medium">
        <color indexed="8"/>
      </right>
      <top style="thin">
        <color indexed="8"/>
      </top>
      <bottom/>
      <diagonal style="thin">
        <color indexed="8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</borders>
  <cellStyleXfs count="2">
    <xf numFmtId="0" fontId="0" fillId="0" borderId="0" applyNumberFormat="0" applyFill="0" applyBorder="0" applyProtection="0">
      <alignment vertical="top" wrapText="1"/>
    </xf>
    <xf numFmtId="0" fontId="15" fillId="0" borderId="7" applyNumberFormat="0" applyFill="0" applyBorder="0" applyProtection="0">
      <alignment vertical="top" wrapText="1"/>
    </xf>
  </cellStyleXfs>
  <cellXfs count="376">
    <xf numFmtId="0" fontId="0" fillId="0" borderId="0" xfId="0" applyFont="1" applyAlignment="1">
      <alignment vertical="top" wrapText="1"/>
    </xf>
    <xf numFmtId="0" fontId="1" fillId="0" borderId="0" xfId="0" applyNumberFormat="1" applyFont="1" applyAlignment="1"/>
    <xf numFmtId="1" fontId="1" fillId="2" borderId="1" xfId="0" applyNumberFormat="1" applyFont="1" applyFill="1" applyBorder="1" applyAlignment="1"/>
    <xf numFmtId="1" fontId="1" fillId="2" borderId="2" xfId="0" applyNumberFormat="1" applyFont="1" applyFill="1" applyBorder="1" applyAlignment="1"/>
    <xf numFmtId="1" fontId="1" fillId="2" borderId="2" xfId="0" applyNumberFormat="1" applyFont="1" applyFill="1" applyBorder="1" applyAlignment="1">
      <alignment horizontal="left"/>
    </xf>
    <xf numFmtId="1" fontId="1" fillId="2" borderId="3" xfId="0" applyNumberFormat="1" applyFont="1" applyFill="1" applyBorder="1" applyAlignment="1"/>
    <xf numFmtId="0" fontId="1" fillId="0" borderId="4" xfId="0" applyFont="1" applyBorder="1" applyAlignment="1"/>
    <xf numFmtId="0" fontId="1" fillId="0" borderId="5" xfId="0" applyFont="1" applyBorder="1" applyAlignment="1"/>
    <xf numFmtId="0" fontId="1" fillId="0" borderId="6" xfId="0" applyFont="1" applyBorder="1" applyAlignment="1"/>
    <xf numFmtId="0" fontId="1" fillId="0" borderId="9" xfId="0" applyFont="1" applyBorder="1" applyAlignment="1"/>
    <xf numFmtId="1" fontId="1" fillId="2" borderId="10" xfId="0" applyNumberFormat="1" applyFont="1" applyFill="1" applyBorder="1" applyAlignment="1"/>
    <xf numFmtId="1" fontId="3" fillId="2" borderId="11" xfId="0" applyNumberFormat="1" applyFont="1" applyFill="1" applyBorder="1" applyAlignment="1"/>
    <xf numFmtId="1" fontId="1" fillId="2" borderId="11" xfId="0" applyNumberFormat="1" applyFont="1" applyFill="1" applyBorder="1" applyAlignment="1"/>
    <xf numFmtId="1" fontId="1" fillId="2" borderId="11" xfId="0" applyNumberFormat="1" applyFont="1" applyFill="1" applyBorder="1" applyAlignment="1">
      <alignment horizontal="left"/>
    </xf>
    <xf numFmtId="0" fontId="2" fillId="2" borderId="13" xfId="0" applyNumberFormat="1" applyFont="1" applyFill="1" applyBorder="1" applyAlignment="1">
      <alignment vertical="top"/>
    </xf>
    <xf numFmtId="1" fontId="2" fillId="2" borderId="14" xfId="0" applyNumberFormat="1" applyFont="1" applyFill="1" applyBorder="1" applyAlignment="1">
      <alignment vertical="top"/>
    </xf>
    <xf numFmtId="0" fontId="2" fillId="2" borderId="14" xfId="0" applyNumberFormat="1" applyFont="1" applyFill="1" applyBorder="1" applyAlignment="1">
      <alignment vertical="top"/>
    </xf>
    <xf numFmtId="1" fontId="2" fillId="2" borderId="15" xfId="0" applyNumberFormat="1" applyFont="1" applyFill="1" applyBorder="1" applyAlignment="1">
      <alignment vertical="top"/>
    </xf>
    <xf numFmtId="0" fontId="2" fillId="2" borderId="17" xfId="0" applyNumberFormat="1" applyFont="1" applyFill="1" applyBorder="1" applyAlignment="1">
      <alignment vertical="top"/>
    </xf>
    <xf numFmtId="0" fontId="4" fillId="0" borderId="21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2" fillId="2" borderId="21" xfId="0" applyNumberFormat="1" applyFont="1" applyFill="1" applyBorder="1" applyAlignment="1">
      <alignment horizontal="center" vertical="top"/>
    </xf>
    <xf numFmtId="0" fontId="2" fillId="2" borderId="23" xfId="0" applyNumberFormat="1" applyFont="1" applyFill="1" applyBorder="1" applyAlignment="1">
      <alignment horizontal="center" vertical="top"/>
    </xf>
    <xf numFmtId="0" fontId="2" fillId="2" borderId="25" xfId="0" applyNumberFormat="1" applyFont="1" applyFill="1" applyBorder="1" applyAlignment="1">
      <alignment horizontal="center" vertical="top"/>
    </xf>
    <xf numFmtId="1" fontId="1" fillId="0" borderId="9" xfId="0" applyNumberFormat="1" applyFont="1" applyBorder="1" applyAlignment="1">
      <alignment horizontal="left"/>
    </xf>
    <xf numFmtId="0" fontId="1" fillId="0" borderId="32" xfId="0" applyFont="1" applyBorder="1" applyAlignment="1"/>
    <xf numFmtId="0" fontId="1" fillId="0" borderId="2" xfId="0" applyFont="1" applyBorder="1" applyAlignment="1"/>
    <xf numFmtId="1" fontId="1" fillId="0" borderId="2" xfId="0" applyNumberFormat="1" applyFont="1" applyBorder="1" applyAlignment="1"/>
    <xf numFmtId="0" fontId="1" fillId="0" borderId="7" xfId="0" applyFont="1" applyBorder="1" applyAlignment="1"/>
    <xf numFmtId="0" fontId="1" fillId="0" borderId="33" xfId="0" applyFont="1" applyBorder="1" applyAlignment="1"/>
    <xf numFmtId="1" fontId="1" fillId="0" borderId="7" xfId="0" applyNumberFormat="1" applyFont="1" applyBorder="1" applyAlignment="1"/>
    <xf numFmtId="1" fontId="1" fillId="0" borderId="7" xfId="0" applyNumberFormat="1" applyFont="1" applyBorder="1" applyAlignment="1">
      <alignment horizontal="left"/>
    </xf>
    <xf numFmtId="0" fontId="1" fillId="0" borderId="34" xfId="0" applyFont="1" applyBorder="1" applyAlignment="1"/>
    <xf numFmtId="0" fontId="1" fillId="0" borderId="35" xfId="0" applyFont="1" applyBorder="1" applyAlignment="1"/>
    <xf numFmtId="1" fontId="1" fillId="0" borderId="35" xfId="0" applyNumberFormat="1" applyFont="1" applyBorder="1" applyAlignment="1">
      <alignment horizontal="left"/>
    </xf>
    <xf numFmtId="1" fontId="1" fillId="0" borderId="35" xfId="0" applyNumberFormat="1" applyFont="1" applyBorder="1" applyAlignment="1"/>
    <xf numFmtId="0" fontId="1" fillId="0" borderId="36" xfId="0" applyFont="1" applyBorder="1" applyAlignment="1"/>
    <xf numFmtId="0" fontId="1" fillId="0" borderId="0" xfId="0" applyNumberFormat="1" applyFont="1" applyAlignment="1"/>
    <xf numFmtId="0" fontId="4" fillId="0" borderId="21" xfId="0" applyNumberFormat="1" applyFont="1" applyBorder="1" applyAlignment="1">
      <alignment vertical="center"/>
    </xf>
    <xf numFmtId="0" fontId="4" fillId="0" borderId="23" xfId="0" applyNumberFormat="1" applyFont="1" applyBorder="1" applyAlignment="1">
      <alignment vertical="center"/>
    </xf>
    <xf numFmtId="0" fontId="1" fillId="0" borderId="0" xfId="0" applyNumberFormat="1" applyFont="1" applyAlignment="1"/>
    <xf numFmtId="0" fontId="2" fillId="0" borderId="7" xfId="0" applyNumberFormat="1" applyFont="1" applyBorder="1" applyAlignment="1"/>
    <xf numFmtId="0" fontId="1" fillId="0" borderId="7" xfId="0" applyNumberFormat="1" applyFont="1" applyBorder="1" applyAlignment="1"/>
    <xf numFmtId="0" fontId="1" fillId="0" borderId="7" xfId="0" applyNumberFormat="1" applyFont="1" applyBorder="1" applyAlignment="1">
      <alignment horizontal="left"/>
    </xf>
    <xf numFmtId="0" fontId="5" fillId="0" borderId="7" xfId="0" applyNumberFormat="1" applyFont="1" applyBorder="1" applyAlignment="1"/>
    <xf numFmtId="1" fontId="5" fillId="0" borderId="7" xfId="0" applyNumberFormat="1" applyFont="1" applyBorder="1" applyAlignment="1"/>
    <xf numFmtId="1" fontId="4" fillId="0" borderId="11" xfId="0" applyNumberFormat="1" applyFont="1" applyBorder="1" applyAlignment="1"/>
    <xf numFmtId="0" fontId="1" fillId="0" borderId="11" xfId="0" applyFont="1" applyBorder="1" applyAlignment="1"/>
    <xf numFmtId="1" fontId="4" fillId="0" borderId="11" xfId="0" applyNumberFormat="1" applyFont="1" applyBorder="1" applyAlignment="1">
      <alignment horizontal="left"/>
    </xf>
    <xf numFmtId="0" fontId="2" fillId="0" borderId="38" xfId="0" applyNumberFormat="1" applyFont="1" applyBorder="1" applyAlignment="1">
      <alignment horizontal="center"/>
    </xf>
    <xf numFmtId="0" fontId="2" fillId="0" borderId="39" xfId="0" applyNumberFormat="1" applyFont="1" applyBorder="1" applyAlignment="1">
      <alignment horizontal="center"/>
    </xf>
    <xf numFmtId="1" fontId="4" fillId="0" borderId="41" xfId="0" applyNumberFormat="1" applyFont="1" applyBorder="1" applyAlignment="1">
      <alignment horizontal="center"/>
    </xf>
    <xf numFmtId="1" fontId="4" fillId="0" borderId="42" xfId="0" applyNumberFormat="1" applyFont="1" applyBorder="1" applyAlignment="1"/>
    <xf numFmtId="1" fontId="4" fillId="0" borderId="43" xfId="0" applyNumberFormat="1" applyFont="1" applyBorder="1" applyAlignment="1">
      <alignment horizontal="left"/>
    </xf>
    <xf numFmtId="1" fontId="4" fillId="0" borderId="12" xfId="0" applyNumberFormat="1" applyFont="1" applyBorder="1" applyAlignment="1">
      <alignment horizontal="left"/>
    </xf>
    <xf numFmtId="1" fontId="4" fillId="0" borderId="41" xfId="0" applyNumberFormat="1" applyFont="1" applyBorder="1" applyAlignment="1"/>
    <xf numFmtId="1" fontId="4" fillId="0" borderId="43" xfId="0" applyNumberFormat="1" applyFont="1" applyBorder="1" applyAlignment="1"/>
    <xf numFmtId="1" fontId="2" fillId="0" borderId="46" xfId="0" applyNumberFormat="1" applyFont="1" applyBorder="1" applyAlignment="1">
      <alignment horizontal="center"/>
    </xf>
    <xf numFmtId="0" fontId="2" fillId="0" borderId="46" xfId="0" applyNumberFormat="1" applyFont="1" applyBorder="1" applyAlignment="1">
      <alignment horizontal="center"/>
    </xf>
    <xf numFmtId="1" fontId="4" fillId="0" borderId="2" xfId="0" applyNumberFormat="1" applyFont="1" applyBorder="1" applyAlignment="1"/>
    <xf numFmtId="1" fontId="4" fillId="0" borderId="57" xfId="0" applyNumberFormat="1" applyFont="1" applyBorder="1" applyAlignment="1"/>
    <xf numFmtId="1" fontId="4" fillId="0" borderId="6" xfId="0" applyNumberFormat="1" applyFont="1" applyBorder="1" applyAlignment="1"/>
    <xf numFmtId="1" fontId="4" fillId="0" borderId="7" xfId="0" applyNumberFormat="1" applyFont="1" applyBorder="1" applyAlignment="1"/>
    <xf numFmtId="1" fontId="4" fillId="0" borderId="7" xfId="0" applyNumberFormat="1" applyFont="1" applyBorder="1" applyAlignment="1">
      <alignment horizontal="left"/>
    </xf>
    <xf numFmtId="1" fontId="4" fillId="0" borderId="60" xfId="0" applyNumberFormat="1" applyFont="1" applyBorder="1" applyAlignment="1"/>
    <xf numFmtId="1" fontId="4" fillId="0" borderId="10" xfId="0" applyNumberFormat="1" applyFont="1" applyBorder="1" applyAlignment="1"/>
    <xf numFmtId="0" fontId="7" fillId="0" borderId="62" xfId="0" applyNumberFormat="1" applyFont="1" applyBorder="1" applyAlignment="1"/>
    <xf numFmtId="0" fontId="5" fillId="0" borderId="16" xfId="0" applyNumberFormat="1" applyFont="1" applyBorder="1" applyAlignment="1">
      <alignment horizontal="center"/>
    </xf>
    <xf numFmtId="0" fontId="5" fillId="0" borderId="17" xfId="0" applyNumberFormat="1" applyFont="1" applyBorder="1" applyAlignment="1">
      <alignment horizontal="center"/>
    </xf>
    <xf numFmtId="1" fontId="5" fillId="0" borderId="38" xfId="0" applyNumberFormat="1" applyFont="1" applyBorder="1" applyAlignment="1">
      <alignment horizontal="center"/>
    </xf>
    <xf numFmtId="0" fontId="5" fillId="0" borderId="58" xfId="0" applyNumberFormat="1" applyFont="1" applyBorder="1" applyAlignment="1">
      <alignment horizontal="center"/>
    </xf>
    <xf numFmtId="0" fontId="5" fillId="0" borderId="46" xfId="0" applyNumberFormat="1" applyFont="1" applyBorder="1" applyAlignment="1">
      <alignment horizontal="center"/>
    </xf>
    <xf numFmtId="0" fontId="5" fillId="0" borderId="37" xfId="0" applyNumberFormat="1" applyFont="1" applyBorder="1" applyAlignment="1">
      <alignment horizontal="center"/>
    </xf>
    <xf numFmtId="1" fontId="5" fillId="0" borderId="46" xfId="0" applyNumberFormat="1" applyFont="1" applyBorder="1" applyAlignment="1">
      <alignment horizontal="center"/>
    </xf>
    <xf numFmtId="1" fontId="1" fillId="0" borderId="1" xfId="0" applyNumberFormat="1" applyFont="1" applyBorder="1" applyAlignment="1"/>
    <xf numFmtId="1" fontId="1" fillId="0" borderId="2" xfId="0" applyNumberFormat="1" applyFont="1" applyBorder="1" applyAlignment="1">
      <alignment horizontal="left"/>
    </xf>
    <xf numFmtId="0" fontId="1" fillId="0" borderId="3" xfId="0" applyNumberFormat="1" applyFont="1" applyBorder="1" applyAlignment="1"/>
    <xf numFmtId="1" fontId="1" fillId="0" borderId="6" xfId="0" applyNumberFormat="1" applyFont="1" applyBorder="1" applyAlignment="1"/>
    <xf numFmtId="0" fontId="1" fillId="0" borderId="8" xfId="0" applyNumberFormat="1" applyFont="1" applyBorder="1" applyAlignment="1"/>
    <xf numFmtId="1" fontId="1" fillId="0" borderId="10" xfId="0" applyNumberFormat="1" applyFont="1" applyBorder="1" applyAlignment="1"/>
    <xf numFmtId="1" fontId="1" fillId="0" borderId="11" xfId="0" applyNumberFormat="1" applyFont="1" applyBorder="1" applyAlignment="1"/>
    <xf numFmtId="1" fontId="1" fillId="0" borderId="11" xfId="0" applyNumberFormat="1" applyFont="1" applyBorder="1" applyAlignment="1">
      <alignment horizontal="left"/>
    </xf>
    <xf numFmtId="0" fontId="1" fillId="0" borderId="12" xfId="0" applyNumberFormat="1" applyFont="1" applyBorder="1" applyAlignment="1"/>
    <xf numFmtId="0" fontId="1" fillId="0" borderId="0" xfId="0" applyNumberFormat="1" applyFont="1" applyAlignment="1"/>
    <xf numFmtId="0" fontId="1" fillId="0" borderId="58" xfId="0" applyNumberFormat="1" applyFont="1" applyBorder="1" applyAlignment="1"/>
    <xf numFmtId="2" fontId="1" fillId="0" borderId="59" xfId="0" applyNumberFormat="1" applyFont="1" applyBorder="1" applyAlignment="1"/>
    <xf numFmtId="0" fontId="1" fillId="0" borderId="37" xfId="0" applyNumberFormat="1" applyFont="1" applyBorder="1" applyAlignment="1"/>
    <xf numFmtId="2" fontId="1" fillId="0" borderId="61" xfId="0" applyNumberFormat="1" applyFont="1" applyBorder="1" applyAlignment="1"/>
    <xf numFmtId="0" fontId="1" fillId="0" borderId="63" xfId="0" applyNumberFormat="1" applyFont="1" applyBorder="1" applyAlignment="1"/>
    <xf numFmtId="2" fontId="1" fillId="0" borderId="64" xfId="0" applyNumberFormat="1" applyFont="1" applyBorder="1" applyAlignment="1"/>
    <xf numFmtId="0" fontId="1" fillId="0" borderId="0" xfId="0" applyNumberFormat="1" applyFont="1" applyAlignment="1"/>
    <xf numFmtId="0" fontId="8" fillId="0" borderId="21" xfId="0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8" fillId="0" borderId="25" xfId="0" applyFont="1" applyBorder="1" applyAlignment="1">
      <alignment vertical="center"/>
    </xf>
    <xf numFmtId="1" fontId="1" fillId="2" borderId="7" xfId="0" applyNumberFormat="1" applyFont="1" applyFill="1" applyBorder="1" applyAlignment="1"/>
    <xf numFmtId="1" fontId="2" fillId="0" borderId="42" xfId="0" applyNumberFormat="1" applyFont="1" applyBorder="1" applyAlignment="1">
      <alignment horizontal="center"/>
    </xf>
    <xf numFmtId="0" fontId="10" fillId="2" borderId="21" xfId="0" applyNumberFormat="1" applyFont="1" applyFill="1" applyBorder="1" applyAlignment="1">
      <alignment vertical="top"/>
    </xf>
    <xf numFmtId="0" fontId="10" fillId="2" borderId="23" xfId="0" applyNumberFormat="1" applyFont="1" applyFill="1" applyBorder="1" applyAlignment="1">
      <alignment vertical="top"/>
    </xf>
    <xf numFmtId="0" fontId="10" fillId="2" borderId="25" xfId="0" applyNumberFormat="1" applyFont="1" applyFill="1" applyBorder="1" applyAlignment="1">
      <alignment vertical="top"/>
    </xf>
    <xf numFmtId="0" fontId="10" fillId="2" borderId="16" xfId="0" applyNumberFormat="1" applyFont="1" applyFill="1" applyBorder="1" applyAlignment="1">
      <alignment vertical="top"/>
    </xf>
    <xf numFmtId="0" fontId="10" fillId="2" borderId="19" xfId="0" applyNumberFormat="1" applyFont="1" applyFill="1" applyBorder="1" applyAlignment="1">
      <alignment vertical="top"/>
    </xf>
    <xf numFmtId="0" fontId="8" fillId="0" borderId="28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1" fillId="0" borderId="14" xfId="0" applyNumberFormat="1" applyFont="1" applyBorder="1" applyAlignment="1">
      <alignment horizontal="left" vertical="center"/>
    </xf>
    <xf numFmtId="0" fontId="1" fillId="0" borderId="14" xfId="0" applyNumberFormat="1" applyFont="1" applyBorder="1" applyAlignment="1"/>
    <xf numFmtId="2" fontId="1" fillId="0" borderId="14" xfId="0" applyNumberFormat="1" applyFont="1" applyBorder="1" applyAlignment="1"/>
    <xf numFmtId="0" fontId="5" fillId="0" borderId="6" xfId="0" applyNumberFormat="1" applyFont="1" applyBorder="1" applyAlignment="1"/>
    <xf numFmtId="0" fontId="1" fillId="0" borderId="6" xfId="0" applyNumberFormat="1" applyFont="1" applyBorder="1" applyAlignment="1"/>
    <xf numFmtId="0" fontId="1" fillId="4" borderId="11" xfId="0" applyFont="1" applyFill="1" applyBorder="1" applyAlignment="1"/>
    <xf numFmtId="1" fontId="2" fillId="4" borderId="11" xfId="0" applyNumberFormat="1" applyFont="1" applyFill="1" applyBorder="1" applyAlignment="1">
      <alignment horizontal="center"/>
    </xf>
    <xf numFmtId="2" fontId="2" fillId="4" borderId="11" xfId="0" applyNumberFormat="1" applyFont="1" applyFill="1" applyBorder="1" applyAlignment="1"/>
    <xf numFmtId="0" fontId="1" fillId="4" borderId="7" xfId="0" applyFont="1" applyFill="1" applyBorder="1" applyAlignment="1"/>
    <xf numFmtId="0" fontId="2" fillId="4" borderId="11" xfId="0" applyNumberFormat="1" applyFont="1" applyFill="1" applyBorder="1" applyAlignment="1"/>
    <xf numFmtId="0" fontId="8" fillId="0" borderId="6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1" fontId="2" fillId="0" borderId="2" xfId="0" applyNumberFormat="1" applyFont="1" applyBorder="1" applyAlignment="1">
      <alignment horizontal="center" vertical="top"/>
    </xf>
    <xf numFmtId="0" fontId="4" fillId="0" borderId="23" xfId="0" applyNumberFormat="1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3" borderId="23" xfId="0" applyNumberFormat="1" applyFont="1" applyFill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3" borderId="25" xfId="0" applyNumberFormat="1" applyFont="1" applyFill="1" applyBorder="1" applyAlignment="1">
      <alignment vertical="center"/>
    </xf>
    <xf numFmtId="0" fontId="4" fillId="5" borderId="23" xfId="0" applyNumberFormat="1" applyFont="1" applyFill="1" applyBorder="1" applyAlignment="1">
      <alignment vertical="center"/>
    </xf>
    <xf numFmtId="0" fontId="4" fillId="5" borderId="25" xfId="0" applyNumberFormat="1" applyFont="1" applyFill="1" applyBorder="1" applyAlignment="1">
      <alignment vertical="center"/>
    </xf>
    <xf numFmtId="0" fontId="8" fillId="3" borderId="23" xfId="0" applyFont="1" applyFill="1" applyBorder="1" applyAlignment="1">
      <alignment vertical="center"/>
    </xf>
    <xf numFmtId="0" fontId="8" fillId="3" borderId="25" xfId="0" applyFont="1" applyFill="1" applyBorder="1" applyAlignment="1">
      <alignment vertical="center"/>
    </xf>
    <xf numFmtId="0" fontId="8" fillId="3" borderId="29" xfId="0" applyFont="1" applyFill="1" applyBorder="1" applyAlignment="1">
      <alignment vertical="center"/>
    </xf>
    <xf numFmtId="0" fontId="8" fillId="3" borderId="31" xfId="0" applyFont="1" applyFill="1" applyBorder="1" applyAlignment="1">
      <alignment vertical="center"/>
    </xf>
    <xf numFmtId="0" fontId="8" fillId="5" borderId="29" xfId="0" applyFont="1" applyFill="1" applyBorder="1" applyAlignment="1">
      <alignment vertical="center"/>
    </xf>
    <xf numFmtId="0" fontId="8" fillId="5" borderId="23" xfId="0" applyFont="1" applyFill="1" applyBorder="1" applyAlignment="1">
      <alignment vertical="center"/>
    </xf>
    <xf numFmtId="0" fontId="8" fillId="5" borderId="31" xfId="0" applyFont="1" applyFill="1" applyBorder="1" applyAlignment="1">
      <alignment vertical="center"/>
    </xf>
    <xf numFmtId="0" fontId="8" fillId="5" borderId="25" xfId="0" applyFont="1" applyFill="1" applyBorder="1" applyAlignment="1">
      <alignment vertical="center"/>
    </xf>
    <xf numFmtId="0" fontId="4" fillId="5" borderId="23" xfId="0" applyFont="1" applyFill="1" applyBorder="1" applyAlignment="1">
      <alignment vertical="center"/>
    </xf>
    <xf numFmtId="0" fontId="4" fillId="5" borderId="25" xfId="0" applyFont="1" applyFill="1" applyBorder="1" applyAlignment="1">
      <alignment vertical="center"/>
    </xf>
    <xf numFmtId="1" fontId="2" fillId="6" borderId="13" xfId="0" applyNumberFormat="1" applyFont="1" applyFill="1" applyBorder="1" applyAlignment="1">
      <alignment horizontal="center" vertical="top"/>
    </xf>
    <xf numFmtId="0" fontId="10" fillId="6" borderId="14" xfId="0" applyNumberFormat="1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76" xfId="0" applyFont="1" applyBorder="1" applyAlignment="1">
      <alignment vertical="center"/>
    </xf>
    <xf numFmtId="0" fontId="10" fillId="6" borderId="15" xfId="0" applyFont="1" applyFill="1" applyBorder="1" applyAlignment="1">
      <alignment horizontal="right" vertical="center"/>
    </xf>
    <xf numFmtId="0" fontId="1" fillId="0" borderId="2" xfId="0" applyNumberFormat="1" applyFont="1" applyBorder="1" applyAlignment="1"/>
    <xf numFmtId="0" fontId="5" fillId="0" borderId="18" xfId="0" applyNumberFormat="1" applyFont="1" applyBorder="1" applyAlignment="1">
      <alignment horizontal="center"/>
    </xf>
    <xf numFmtId="0" fontId="2" fillId="0" borderId="40" xfId="0" applyNumberFormat="1" applyFont="1" applyBorder="1" applyAlignment="1">
      <alignment horizontal="center"/>
    </xf>
    <xf numFmtId="0" fontId="4" fillId="0" borderId="29" xfId="0" applyFont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1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" fillId="0" borderId="11" xfId="0" applyNumberFormat="1" applyFont="1" applyBorder="1" applyAlignment="1"/>
    <xf numFmtId="0" fontId="2" fillId="6" borderId="15" xfId="0" applyFont="1" applyFill="1" applyBorder="1" applyAlignment="1">
      <alignment horizontal="right" vertical="center"/>
    </xf>
    <xf numFmtId="0" fontId="0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5" fillId="0" borderId="79" xfId="0" applyFont="1" applyBorder="1" applyAlignment="1">
      <alignment vertical="top" wrapText="1"/>
    </xf>
    <xf numFmtId="0" fontId="15" fillId="0" borderId="79" xfId="0" applyFont="1" applyBorder="1" applyAlignment="1">
      <alignment vertical="top"/>
    </xf>
    <xf numFmtId="0" fontId="15" fillId="8" borderId="79" xfId="0" applyFont="1" applyFill="1" applyBorder="1" applyAlignment="1">
      <alignment vertical="top"/>
    </xf>
    <xf numFmtId="1" fontId="1" fillId="2" borderId="7" xfId="0" applyNumberFormat="1" applyFont="1" applyFill="1" applyBorder="1" applyAlignment="1"/>
    <xf numFmtId="0" fontId="5" fillId="0" borderId="18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0" fontId="2" fillId="0" borderId="40" xfId="0" applyNumberFormat="1" applyFont="1" applyBorder="1" applyAlignment="1">
      <alignment horizontal="center"/>
    </xf>
    <xf numFmtId="0" fontId="2" fillId="4" borderId="7" xfId="0" applyNumberFormat="1" applyFont="1" applyFill="1" applyBorder="1" applyAlignment="1">
      <alignment horizontal="center"/>
    </xf>
    <xf numFmtId="1" fontId="4" fillId="0" borderId="46" xfId="0" applyNumberFormat="1" applyFont="1" applyBorder="1" applyAlignment="1">
      <alignment horizontal="center"/>
    </xf>
    <xf numFmtId="0" fontId="2" fillId="10" borderId="10" xfId="0" applyNumberFormat="1" applyFont="1" applyFill="1" applyBorder="1" applyAlignment="1">
      <alignment horizontal="center" vertical="top"/>
    </xf>
    <xf numFmtId="0" fontId="10" fillId="10" borderId="11" xfId="0" applyNumberFormat="1" applyFont="1" applyFill="1" applyBorder="1" applyAlignment="1">
      <alignment vertical="top"/>
    </xf>
    <xf numFmtId="0" fontId="8" fillId="10" borderId="11" xfId="0" applyFont="1" applyFill="1" applyBorder="1" applyAlignment="1">
      <alignment vertical="center"/>
    </xf>
    <xf numFmtId="0" fontId="8" fillId="10" borderId="76" xfId="0" applyFont="1" applyFill="1" applyBorder="1" applyAlignment="1">
      <alignment vertical="center"/>
    </xf>
    <xf numFmtId="0" fontId="2" fillId="10" borderId="11" xfId="0" applyNumberFormat="1" applyFont="1" applyFill="1" applyBorder="1" applyAlignment="1">
      <alignment horizontal="center" vertical="top"/>
    </xf>
    <xf numFmtId="0" fontId="2" fillId="10" borderId="11" xfId="0" applyFont="1" applyFill="1" applyBorder="1" applyAlignment="1">
      <alignment horizontal="right" vertical="center"/>
    </xf>
    <xf numFmtId="0" fontId="2" fillId="10" borderId="12" xfId="0" applyFont="1" applyFill="1" applyBorder="1" applyAlignment="1">
      <alignment horizontal="right" vertical="center"/>
    </xf>
    <xf numFmtId="0" fontId="2" fillId="2" borderId="77" xfId="0" applyNumberFormat="1" applyFont="1" applyFill="1" applyBorder="1" applyAlignment="1">
      <alignment horizontal="center" vertical="top"/>
    </xf>
    <xf numFmtId="0" fontId="15" fillId="7" borderId="79" xfId="0" applyFont="1" applyFill="1" applyBorder="1" applyAlignment="1">
      <alignment vertical="top"/>
    </xf>
    <xf numFmtId="0" fontId="15" fillId="9" borderId="79" xfId="0" applyFont="1" applyFill="1" applyBorder="1" applyAlignment="1">
      <alignment vertical="top"/>
    </xf>
    <xf numFmtId="0" fontId="5" fillId="3" borderId="94" xfId="0" applyNumberFormat="1" applyFont="1" applyFill="1" applyBorder="1" applyAlignment="1">
      <alignment horizontal="center"/>
    </xf>
    <xf numFmtId="0" fontId="5" fillId="0" borderId="50" xfId="0" applyNumberFormat="1" applyFont="1" applyBorder="1" applyAlignment="1">
      <alignment horizontal="center"/>
    </xf>
    <xf numFmtId="0" fontId="7" fillId="0" borderId="7" xfId="0" applyNumberFormat="1" applyFont="1" applyBorder="1" applyAlignment="1"/>
    <xf numFmtId="0" fontId="5" fillId="0" borderId="7" xfId="0" applyNumberFormat="1" applyFont="1" applyBorder="1" applyAlignment="1">
      <alignment horizontal="center"/>
    </xf>
    <xf numFmtId="0" fontId="5" fillId="0" borderId="7" xfId="0" applyFont="1" applyBorder="1" applyAlignment="1"/>
    <xf numFmtId="1" fontId="16" fillId="0" borderId="7" xfId="0" applyNumberFormat="1" applyFont="1" applyBorder="1" applyAlignment="1"/>
    <xf numFmtId="14" fontId="5" fillId="0" borderId="7" xfId="0" applyNumberFormat="1" applyFont="1" applyBorder="1" applyAlignment="1">
      <alignment horizontal="center"/>
    </xf>
    <xf numFmtId="1" fontId="2" fillId="0" borderId="11" xfId="0" applyNumberFormat="1" applyFont="1" applyBorder="1" applyAlignment="1"/>
    <xf numFmtId="1" fontId="2" fillId="0" borderId="7" xfId="0" applyNumberFormat="1" applyFont="1" applyBorder="1" applyAlignment="1"/>
    <xf numFmtId="0" fontId="5" fillId="0" borderId="11" xfId="0" applyFont="1" applyBorder="1" applyAlignment="1"/>
    <xf numFmtId="1" fontId="5" fillId="0" borderId="2" xfId="0" applyNumberFormat="1" applyFont="1" applyBorder="1" applyAlignment="1"/>
    <xf numFmtId="1" fontId="5" fillId="0" borderId="11" xfId="0" applyNumberFormat="1" applyFont="1" applyBorder="1" applyAlignment="1"/>
    <xf numFmtId="0" fontId="5" fillId="0" borderId="0" xfId="0" applyNumberFormat="1" applyFont="1" applyAlignment="1"/>
    <xf numFmtId="0" fontId="1" fillId="0" borderId="7" xfId="0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1" fillId="0" borderId="7" xfId="0" applyNumberFormat="1" applyFont="1" applyBorder="1" applyAlignment="1">
      <alignment horizontal="center"/>
    </xf>
    <xf numFmtId="0" fontId="4" fillId="0" borderId="63" xfId="0" applyNumberFormat="1" applyFont="1" applyBorder="1" applyAlignment="1">
      <alignment horizontal="center"/>
    </xf>
    <xf numFmtId="0" fontId="4" fillId="0" borderId="67" xfId="0" applyNumberFormat="1" applyFont="1" applyBorder="1" applyAlignment="1">
      <alignment horizontal="center"/>
    </xf>
    <xf numFmtId="0" fontId="4" fillId="0" borderId="64" xfId="0" applyNumberFormat="1" applyFont="1" applyBorder="1" applyAlignment="1">
      <alignment horizontal="center"/>
    </xf>
    <xf numFmtId="0" fontId="4" fillId="0" borderId="7" xfId="0" applyNumberFormat="1" applyFont="1" applyBorder="1" applyAlignment="1">
      <alignment horizontal="center"/>
    </xf>
    <xf numFmtId="0" fontId="1" fillId="0" borderId="0" xfId="0" applyNumberFormat="1" applyFont="1" applyAlignment="1">
      <alignment horizontal="center"/>
    </xf>
    <xf numFmtId="1" fontId="1" fillId="0" borderId="58" xfId="0" applyNumberFormat="1" applyFont="1" applyBorder="1" applyAlignment="1"/>
    <xf numFmtId="0" fontId="1" fillId="0" borderId="37" xfId="0" applyFont="1" applyBorder="1" applyAlignment="1"/>
    <xf numFmtId="0" fontId="1" fillId="0" borderId="46" xfId="0" applyNumberFormat="1" applyFont="1" applyBorder="1" applyAlignment="1"/>
    <xf numFmtId="0" fontId="2" fillId="4" borderId="7" xfId="0" applyNumberFormat="1" applyFont="1" applyFill="1" applyBorder="1" applyAlignment="1"/>
    <xf numFmtId="0" fontId="4" fillId="0" borderId="25" xfId="0" applyFont="1" applyBorder="1" applyAlignment="1">
      <alignment vertical="center"/>
    </xf>
    <xf numFmtId="0" fontId="2" fillId="2" borderId="10" xfId="0" applyNumberFormat="1" applyFont="1" applyFill="1" applyBorder="1" applyAlignment="1">
      <alignment vertical="top"/>
    </xf>
    <xf numFmtId="1" fontId="2" fillId="2" borderId="11" xfId="0" applyNumberFormat="1" applyFont="1" applyFill="1" applyBorder="1" applyAlignment="1">
      <alignment vertical="top"/>
    </xf>
    <xf numFmtId="0" fontId="2" fillId="2" borderId="11" xfId="0" applyNumberFormat="1" applyFont="1" applyFill="1" applyBorder="1" applyAlignment="1">
      <alignment vertical="top"/>
    </xf>
    <xf numFmtId="0" fontId="2" fillId="2" borderId="11" xfId="0" applyFont="1" applyFill="1" applyBorder="1" applyAlignment="1">
      <alignment vertical="top"/>
    </xf>
    <xf numFmtId="1" fontId="1" fillId="2" borderId="98" xfId="0" applyNumberFormat="1" applyFont="1" applyFill="1" applyBorder="1" applyAlignment="1"/>
    <xf numFmtId="1" fontId="1" fillId="2" borderId="99" xfId="0" applyNumberFormat="1" applyFont="1" applyFill="1" applyBorder="1" applyAlignment="1"/>
    <xf numFmtId="1" fontId="1" fillId="2" borderId="99" xfId="0" applyNumberFormat="1" applyFont="1" applyFill="1" applyBorder="1" applyAlignment="1">
      <alignment horizontal="left"/>
    </xf>
    <xf numFmtId="1" fontId="1" fillId="2" borderId="100" xfId="0" applyNumberFormat="1" applyFont="1" applyFill="1" applyBorder="1" applyAlignment="1"/>
    <xf numFmtId="1" fontId="1" fillId="2" borderId="103" xfId="0" applyNumberFormat="1" applyFont="1" applyFill="1" applyBorder="1" applyAlignment="1"/>
    <xf numFmtId="1" fontId="3" fillId="2" borderId="104" xfId="0" applyNumberFormat="1" applyFont="1" applyFill="1" applyBorder="1" applyAlignment="1"/>
    <xf numFmtId="1" fontId="1" fillId="2" borderId="104" xfId="0" applyNumberFormat="1" applyFont="1" applyFill="1" applyBorder="1" applyAlignment="1"/>
    <xf numFmtId="1" fontId="1" fillId="2" borderId="104" xfId="0" applyNumberFormat="1" applyFont="1" applyFill="1" applyBorder="1" applyAlignment="1">
      <alignment horizontal="left"/>
    </xf>
    <xf numFmtId="1" fontId="1" fillId="2" borderId="105" xfId="0" applyNumberFormat="1" applyFont="1" applyFill="1" applyBorder="1" applyAlignment="1"/>
    <xf numFmtId="0" fontId="1" fillId="0" borderId="106" xfId="0" applyFont="1" applyBorder="1" applyAlignment="1"/>
    <xf numFmtId="0" fontId="4" fillId="0" borderId="11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12" xfId="0" applyNumberFormat="1" applyFont="1" applyBorder="1" applyAlignment="1">
      <alignment horizontal="center"/>
    </xf>
    <xf numFmtId="0" fontId="4" fillId="0" borderId="58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59" xfId="0" applyNumberFormat="1" applyFont="1" applyBorder="1" applyAlignment="1">
      <alignment horizontal="center"/>
    </xf>
    <xf numFmtId="0" fontId="4" fillId="0" borderId="37" xfId="0" applyNumberFormat="1" applyFont="1" applyBorder="1" applyAlignment="1">
      <alignment horizontal="center"/>
    </xf>
    <xf numFmtId="0" fontId="4" fillId="0" borderId="48" xfId="0" applyNumberFormat="1" applyFont="1" applyBorder="1" applyAlignment="1">
      <alignment horizontal="center"/>
    </xf>
    <xf numFmtId="0" fontId="4" fillId="0" borderId="61" xfId="0" applyNumberFormat="1" applyFont="1" applyBorder="1" applyAlignment="1">
      <alignment horizontal="center"/>
    </xf>
    <xf numFmtId="0" fontId="1" fillId="0" borderId="11" xfId="0" applyNumberFormat="1" applyFont="1" applyBorder="1" applyAlignment="1">
      <alignment horizontal="center"/>
    </xf>
    <xf numFmtId="0" fontId="1" fillId="0" borderId="21" xfId="0" applyNumberFormat="1" applyFont="1" applyBorder="1" applyAlignment="1">
      <alignment horizontal="center"/>
    </xf>
    <xf numFmtId="0" fontId="1" fillId="0" borderId="23" xfId="0" applyNumberFormat="1" applyFont="1" applyBorder="1" applyAlignment="1">
      <alignment horizontal="center"/>
    </xf>
    <xf numFmtId="0" fontId="1" fillId="0" borderId="25" xfId="0" applyNumberFormat="1" applyFont="1" applyBorder="1" applyAlignment="1">
      <alignment horizontal="center"/>
    </xf>
    <xf numFmtId="2" fontId="1" fillId="0" borderId="65" xfId="0" applyNumberFormat="1" applyFont="1" applyBorder="1" applyAlignment="1">
      <alignment horizontal="center"/>
    </xf>
    <xf numFmtId="1" fontId="1" fillId="0" borderId="59" xfId="0" applyNumberFormat="1" applyFont="1" applyBorder="1" applyAlignment="1">
      <alignment horizontal="center"/>
    </xf>
    <xf numFmtId="2" fontId="1" fillId="0" borderId="66" xfId="0" applyNumberFormat="1" applyFont="1" applyBorder="1" applyAlignment="1">
      <alignment horizontal="center"/>
    </xf>
    <xf numFmtId="1" fontId="1" fillId="0" borderId="61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1" fontId="1" fillId="0" borderId="52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center"/>
    </xf>
    <xf numFmtId="164" fontId="1" fillId="0" borderId="61" xfId="0" applyNumberFormat="1" applyFont="1" applyBorder="1" applyAlignment="1">
      <alignment horizontal="center"/>
    </xf>
    <xf numFmtId="164" fontId="1" fillId="0" borderId="52" xfId="0" applyNumberFormat="1" applyFont="1" applyBorder="1" applyAlignment="1">
      <alignment horizontal="center"/>
    </xf>
    <xf numFmtId="0" fontId="4" fillId="0" borderId="21" xfId="1" applyFont="1" applyBorder="1" applyAlignment="1">
      <alignment vertical="center"/>
    </xf>
    <xf numFmtId="0" fontId="4" fillId="0" borderId="21" xfId="1" applyNumberFormat="1" applyFont="1" applyBorder="1" applyAlignment="1">
      <alignment vertical="center"/>
    </xf>
    <xf numFmtId="0" fontId="4" fillId="3" borderId="23" xfId="1" applyFont="1" applyFill="1" applyBorder="1" applyAlignment="1">
      <alignment vertical="center"/>
    </xf>
    <xf numFmtId="0" fontId="4" fillId="3" borderId="23" xfId="1" applyNumberFormat="1" applyFont="1" applyFill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3" xfId="1" applyNumberFormat="1" applyFont="1" applyBorder="1" applyAlignment="1">
      <alignment vertical="center"/>
    </xf>
    <xf numFmtId="0" fontId="4" fillId="3" borderId="25" xfId="1" applyFont="1" applyFill="1" applyBorder="1" applyAlignment="1">
      <alignment vertical="center"/>
    </xf>
    <xf numFmtId="0" fontId="4" fillId="3" borderId="25" xfId="1" applyNumberFormat="1" applyFont="1" applyFill="1" applyBorder="1" applyAlignment="1">
      <alignment vertical="center"/>
    </xf>
    <xf numFmtId="0" fontId="4" fillId="5" borderId="23" xfId="1" applyNumberFormat="1" applyFont="1" applyFill="1" applyBorder="1" applyAlignment="1">
      <alignment vertical="center"/>
    </xf>
    <xf numFmtId="0" fontId="4" fillId="5" borderId="25" xfId="1" applyNumberFormat="1" applyFont="1" applyFill="1" applyBorder="1" applyAlignment="1">
      <alignment vertical="center"/>
    </xf>
    <xf numFmtId="0" fontId="4" fillId="0" borderId="25" xfId="1" applyFont="1" applyBorder="1" applyAlignment="1">
      <alignment vertical="center"/>
    </xf>
    <xf numFmtId="0" fontId="10" fillId="2" borderId="20" xfId="0" applyNumberFormat="1" applyFont="1" applyFill="1" applyBorder="1" applyAlignment="1">
      <alignment horizontal="center" vertical="center" wrapText="1"/>
    </xf>
    <xf numFmtId="0" fontId="10" fillId="2" borderId="22" xfId="0" applyNumberFormat="1" applyFont="1" applyFill="1" applyBorder="1" applyAlignment="1">
      <alignment horizontal="center" vertical="center" wrapText="1"/>
    </xf>
    <xf numFmtId="0" fontId="10" fillId="2" borderId="24" xfId="0" applyNumberFormat="1" applyFont="1" applyFill="1" applyBorder="1" applyAlignment="1">
      <alignment horizontal="center" vertical="center" wrapText="1"/>
    </xf>
    <xf numFmtId="0" fontId="2" fillId="2" borderId="101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2" borderId="102" xfId="0" applyNumberFormat="1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 vertical="top"/>
    </xf>
    <xf numFmtId="1" fontId="2" fillId="2" borderId="22" xfId="0" applyNumberFormat="1" applyFont="1" applyFill="1" applyBorder="1" applyAlignment="1">
      <alignment horizontal="center" vertical="top"/>
    </xf>
    <xf numFmtId="1" fontId="2" fillId="2" borderId="24" xfId="0" applyNumberFormat="1" applyFont="1" applyFill="1" applyBorder="1" applyAlignment="1">
      <alignment horizontal="center" vertical="top"/>
    </xf>
    <xf numFmtId="0" fontId="2" fillId="0" borderId="11" xfId="0" applyNumberFormat="1" applyFont="1" applyBorder="1" applyAlignment="1">
      <alignment horizontal="center" vertical="top"/>
    </xf>
    <xf numFmtId="1" fontId="2" fillId="0" borderId="11" xfId="0" applyNumberFormat="1" applyFont="1" applyBorder="1" applyAlignment="1">
      <alignment horizontal="center" vertical="top"/>
    </xf>
    <xf numFmtId="1" fontId="1" fillId="2" borderId="7" xfId="0" applyNumberFormat="1" applyFont="1" applyFill="1" applyBorder="1" applyAlignment="1"/>
    <xf numFmtId="1" fontId="1" fillId="2" borderId="102" xfId="0" applyNumberFormat="1" applyFont="1" applyFill="1" applyBorder="1" applyAlignment="1"/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10" fillId="0" borderId="14" xfId="0" applyNumberFormat="1" applyFont="1" applyBorder="1" applyAlignment="1">
      <alignment horizontal="center" vertical="top"/>
    </xf>
    <xf numFmtId="1" fontId="2" fillId="0" borderId="14" xfId="0" applyNumberFormat="1" applyFont="1" applyBorder="1" applyAlignment="1">
      <alignment horizontal="center" vertical="top"/>
    </xf>
    <xf numFmtId="0" fontId="2" fillId="0" borderId="39" xfId="0" applyNumberFormat="1" applyFont="1" applyBorder="1" applyAlignment="1">
      <alignment horizontal="center" vertical="center"/>
    </xf>
    <xf numFmtId="0" fontId="2" fillId="0" borderId="47" xfId="0" applyNumberFormat="1" applyFont="1" applyBorder="1" applyAlignment="1">
      <alignment horizontal="center" vertical="center"/>
    </xf>
    <xf numFmtId="0" fontId="2" fillId="0" borderId="50" xfId="0" applyNumberFormat="1" applyFont="1" applyBorder="1" applyAlignment="1">
      <alignment horizontal="center" vertical="center"/>
    </xf>
    <xf numFmtId="0" fontId="5" fillId="0" borderId="58" xfId="0" applyNumberFormat="1" applyFont="1" applyBorder="1" applyAlignment="1">
      <alignment horizontal="center" vertical="center"/>
    </xf>
    <xf numFmtId="1" fontId="5" fillId="0" borderId="37" xfId="0" applyNumberFormat="1" applyFont="1" applyBorder="1" applyAlignment="1">
      <alignment horizontal="center" vertical="center"/>
    </xf>
    <xf numFmtId="1" fontId="5" fillId="0" borderId="53" xfId="0" applyNumberFormat="1" applyFont="1" applyBorder="1" applyAlignment="1">
      <alignment horizontal="center" vertical="center"/>
    </xf>
    <xf numFmtId="0" fontId="8" fillId="0" borderId="88" xfId="0" applyNumberFormat="1" applyFont="1" applyBorder="1" applyAlignment="1">
      <alignment horizontal="center" vertical="center"/>
    </xf>
    <xf numFmtId="0" fontId="11" fillId="0" borderId="80" xfId="0" applyNumberFormat="1" applyFont="1" applyBorder="1" applyAlignment="1">
      <alignment horizontal="center" vertical="center"/>
    </xf>
    <xf numFmtId="0" fontId="11" fillId="0" borderId="89" xfId="0" applyNumberFormat="1" applyFont="1" applyBorder="1" applyAlignment="1">
      <alignment horizontal="center" vertical="center"/>
    </xf>
    <xf numFmtId="0" fontId="2" fillId="0" borderId="107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1" fontId="4" fillId="0" borderId="49" xfId="0" applyNumberFormat="1" applyFont="1" applyBorder="1" applyAlignment="1">
      <alignment horizontal="center" vertical="center"/>
    </xf>
    <xf numFmtId="1" fontId="4" fillId="0" borderId="52" xfId="0" applyNumberFormat="1" applyFont="1" applyBorder="1" applyAlignment="1">
      <alignment horizontal="center" vertical="center"/>
    </xf>
    <xf numFmtId="1" fontId="8" fillId="0" borderId="23" xfId="0" applyNumberFormat="1" applyFont="1" applyBorder="1" applyAlignment="1">
      <alignment horizontal="center" vertical="center"/>
    </xf>
    <xf numFmtId="0" fontId="8" fillId="0" borderId="70" xfId="0" applyNumberFormat="1" applyFont="1" applyBorder="1" applyAlignment="1">
      <alignment horizontal="center" vertical="center"/>
    </xf>
    <xf numFmtId="0" fontId="8" fillId="0" borderId="71" xfId="0" applyNumberFormat="1" applyFont="1" applyBorder="1" applyAlignment="1">
      <alignment horizontal="center" vertical="center"/>
    </xf>
    <xf numFmtId="0" fontId="8" fillId="0" borderId="92" xfId="0" applyNumberFormat="1" applyFont="1" applyBorder="1" applyAlignment="1">
      <alignment horizontal="center" vertical="center"/>
    </xf>
    <xf numFmtId="0" fontId="8" fillId="0" borderId="53" xfId="0" applyNumberFormat="1" applyFont="1" applyBorder="1" applyAlignment="1">
      <alignment horizontal="center" vertical="center"/>
    </xf>
    <xf numFmtId="0" fontId="8" fillId="0" borderId="47" xfId="0" applyNumberFormat="1" applyFont="1" applyBorder="1" applyAlignment="1">
      <alignment horizontal="center" vertical="center"/>
    </xf>
    <xf numFmtId="0" fontId="8" fillId="0" borderId="50" xfId="0" applyNumberFormat="1" applyFont="1" applyBorder="1" applyAlignment="1">
      <alignment horizontal="center" vertical="center"/>
    </xf>
    <xf numFmtId="0" fontId="4" fillId="0" borderId="48" xfId="0" applyNumberFormat="1" applyFont="1" applyBorder="1" applyAlignment="1">
      <alignment horizontal="left"/>
    </xf>
    <xf numFmtId="1" fontId="4" fillId="0" borderId="29" xfId="0" applyNumberFormat="1" applyFont="1" applyBorder="1" applyAlignment="1">
      <alignment horizontal="left"/>
    </xf>
    <xf numFmtId="1" fontId="4" fillId="0" borderId="38" xfId="0" applyNumberFormat="1" applyFont="1" applyBorder="1" applyAlignment="1">
      <alignment horizontal="center" vertical="center"/>
    </xf>
    <xf numFmtId="1" fontId="4" fillId="0" borderId="46" xfId="0" applyNumberFormat="1" applyFont="1" applyBorder="1" applyAlignment="1">
      <alignment horizontal="center" vertical="center"/>
    </xf>
    <xf numFmtId="1" fontId="4" fillId="0" borderId="51" xfId="0" applyNumberFormat="1" applyFont="1" applyBorder="1" applyAlignment="1">
      <alignment horizontal="center" vertical="center"/>
    </xf>
    <xf numFmtId="0" fontId="2" fillId="0" borderId="42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1" fontId="4" fillId="0" borderId="41" xfId="0" applyNumberFormat="1" applyFont="1" applyBorder="1" applyAlignment="1">
      <alignment horizontal="center" vertical="center"/>
    </xf>
    <xf numFmtId="0" fontId="4" fillId="0" borderId="55" xfId="0" applyNumberFormat="1" applyFont="1" applyBorder="1" applyAlignment="1">
      <alignment horizontal="center" vertical="center"/>
    </xf>
    <xf numFmtId="1" fontId="4" fillId="0" borderId="56" xfId="0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0" fontId="8" fillId="0" borderId="81" xfId="0" applyNumberFormat="1" applyFont="1" applyBorder="1" applyAlignment="1">
      <alignment horizontal="center" vertical="center"/>
    </xf>
    <xf numFmtId="0" fontId="11" fillId="0" borderId="82" xfId="0" applyNumberFormat="1" applyFont="1" applyBorder="1" applyAlignment="1">
      <alignment horizontal="center" vertical="center"/>
    </xf>
    <xf numFmtId="0" fontId="11" fillId="0" borderId="83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2" xfId="0" applyNumberFormat="1" applyFont="1" applyBorder="1" applyAlignment="1">
      <alignment horizontal="center" vertical="center"/>
    </xf>
    <xf numFmtId="0" fontId="1" fillId="0" borderId="48" xfId="0" applyNumberFormat="1" applyFont="1" applyBorder="1" applyAlignment="1">
      <alignment horizontal="left"/>
    </xf>
    <xf numFmtId="0" fontId="1" fillId="0" borderId="29" xfId="0" applyNumberFormat="1" applyFont="1" applyBorder="1" applyAlignment="1">
      <alignment horizontal="left"/>
    </xf>
    <xf numFmtId="0" fontId="11" fillId="0" borderId="74" xfId="0" applyNumberFormat="1" applyFont="1" applyBorder="1" applyAlignment="1">
      <alignment horizontal="center"/>
    </xf>
    <xf numFmtId="0" fontId="11" fillId="0" borderId="75" xfId="0" applyNumberFormat="1" applyFont="1" applyBorder="1" applyAlignment="1">
      <alignment horizontal="center"/>
    </xf>
    <xf numFmtId="0" fontId="5" fillId="0" borderId="39" xfId="0" applyNumberFormat="1" applyFont="1" applyBorder="1" applyAlignment="1">
      <alignment horizontal="center" vertical="center"/>
    </xf>
    <xf numFmtId="1" fontId="5" fillId="0" borderId="47" xfId="0" applyNumberFormat="1" applyFont="1" applyBorder="1" applyAlignment="1">
      <alignment horizontal="center" vertical="center"/>
    </xf>
    <xf numFmtId="0" fontId="5" fillId="0" borderId="53" xfId="0" applyNumberFormat="1" applyFont="1" applyBorder="1" applyAlignment="1">
      <alignment horizontal="center" vertical="center"/>
    </xf>
    <xf numFmtId="1" fontId="5" fillId="0" borderId="50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left"/>
    </xf>
    <xf numFmtId="0" fontId="8" fillId="0" borderId="85" xfId="0" applyNumberFormat="1" applyFont="1" applyBorder="1" applyAlignment="1">
      <alignment horizontal="center" vertical="center"/>
    </xf>
    <xf numFmtId="0" fontId="8" fillId="0" borderId="8" xfId="0" applyNumberFormat="1" applyFont="1" applyBorder="1" applyAlignment="1">
      <alignment horizontal="center" vertical="center"/>
    </xf>
    <xf numFmtId="0" fontId="8" fillId="0" borderId="12" xfId="0" applyNumberFormat="1" applyFont="1" applyBorder="1" applyAlignment="1">
      <alignment horizontal="center" vertical="center"/>
    </xf>
    <xf numFmtId="0" fontId="4" fillId="0" borderId="67" xfId="0" applyNumberFormat="1" applyFont="1" applyBorder="1" applyAlignment="1">
      <alignment horizontal="left"/>
    </xf>
    <xf numFmtId="1" fontId="4" fillId="0" borderId="31" xfId="0" applyNumberFormat="1" applyFont="1" applyBorder="1" applyAlignment="1">
      <alignment horizontal="left"/>
    </xf>
    <xf numFmtId="0" fontId="5" fillId="0" borderId="47" xfId="0" applyNumberFormat="1" applyFont="1" applyBorder="1" applyAlignment="1">
      <alignment horizontal="center" vertical="center"/>
    </xf>
    <xf numFmtId="0" fontId="2" fillId="0" borderId="58" xfId="0" applyNumberFormat="1" applyFont="1" applyBorder="1" applyAlignment="1">
      <alignment horizontal="center" vertical="center"/>
    </xf>
    <xf numFmtId="1" fontId="2" fillId="0" borderId="37" xfId="0" applyNumberFormat="1" applyFont="1" applyBorder="1" applyAlignment="1">
      <alignment horizontal="center" vertical="center"/>
    </xf>
    <xf numFmtId="1" fontId="2" fillId="0" borderId="97" xfId="0" applyNumberFormat="1" applyFont="1" applyBorder="1" applyAlignment="1">
      <alignment horizontal="center" vertical="center"/>
    </xf>
    <xf numFmtId="0" fontId="8" fillId="0" borderId="90" xfId="0" applyNumberFormat="1" applyFont="1" applyBorder="1" applyAlignment="1">
      <alignment horizontal="center" vertical="center"/>
    </xf>
    <xf numFmtId="0" fontId="11" fillId="0" borderId="91" xfId="0" applyNumberFormat="1" applyFont="1" applyBorder="1" applyAlignment="1">
      <alignment horizontal="center" vertical="center"/>
    </xf>
    <xf numFmtId="0" fontId="4" fillId="0" borderId="48" xfId="0" applyNumberFormat="1" applyFont="1" applyBorder="1" applyAlignment="1"/>
    <xf numFmtId="0" fontId="4" fillId="0" borderId="29" xfId="0" applyNumberFormat="1" applyFont="1" applyBorder="1" applyAlignment="1"/>
    <xf numFmtId="1" fontId="4" fillId="0" borderId="45" xfId="0" applyNumberFormat="1" applyFont="1" applyBorder="1" applyAlignment="1">
      <alignment horizontal="center" vertical="center"/>
    </xf>
    <xf numFmtId="0" fontId="8" fillId="0" borderId="93" xfId="0" applyNumberFormat="1" applyFont="1" applyBorder="1" applyAlignment="1">
      <alignment horizontal="center" vertical="center"/>
    </xf>
    <xf numFmtId="0" fontId="11" fillId="0" borderId="68" xfId="0" applyNumberFormat="1" applyFont="1" applyBorder="1" applyAlignment="1">
      <alignment horizontal="center" vertical="center"/>
    </xf>
    <xf numFmtId="0" fontId="11" fillId="0" borderId="69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0" fontId="2" fillId="0" borderId="53" xfId="0" applyNumberFormat="1" applyFont="1" applyBorder="1" applyAlignment="1">
      <alignment horizontal="center" vertical="center"/>
    </xf>
    <xf numFmtId="0" fontId="8" fillId="0" borderId="86" xfId="0" applyNumberFormat="1" applyFont="1" applyBorder="1" applyAlignment="1">
      <alignment horizontal="center" vertical="center"/>
    </xf>
    <xf numFmtId="0" fontId="11" fillId="0" borderId="87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84" xfId="0" applyNumberFormat="1" applyFont="1" applyBorder="1" applyAlignment="1">
      <alignment horizontal="center" vertical="center"/>
    </xf>
    <xf numFmtId="1" fontId="8" fillId="0" borderId="21" xfId="0" applyNumberFormat="1" applyFont="1" applyBorder="1" applyAlignment="1">
      <alignment horizontal="center" vertical="center"/>
    </xf>
    <xf numFmtId="1" fontId="8" fillId="0" borderId="78" xfId="0" applyNumberFormat="1" applyFont="1" applyBorder="1" applyAlignment="1">
      <alignment horizontal="center" vertical="center"/>
    </xf>
    <xf numFmtId="0" fontId="4" fillId="0" borderId="44" xfId="0" applyNumberFormat="1" applyFont="1" applyBorder="1" applyAlignment="1">
      <alignment horizontal="left"/>
    </xf>
    <xf numFmtId="1" fontId="4" fillId="0" borderId="27" xfId="0" applyNumberFormat="1" applyFont="1" applyBorder="1" applyAlignment="1">
      <alignment horizontal="left"/>
    </xf>
    <xf numFmtId="0" fontId="6" fillId="0" borderId="7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1" fillId="0" borderId="44" xfId="0" applyNumberFormat="1" applyFont="1" applyBorder="1" applyAlignment="1">
      <alignment horizontal="left"/>
    </xf>
    <xf numFmtId="1" fontId="1" fillId="0" borderId="27" xfId="0" applyNumberFormat="1" applyFont="1" applyBorder="1" applyAlignment="1">
      <alignment horizontal="left"/>
    </xf>
    <xf numFmtId="0" fontId="5" fillId="0" borderId="1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0" fontId="5" fillId="0" borderId="18" xfId="0" applyNumberFormat="1" applyFont="1" applyBorder="1" applyAlignment="1">
      <alignment horizontal="center"/>
    </xf>
    <xf numFmtId="0" fontId="5" fillId="0" borderId="14" xfId="0" applyNumberFormat="1" applyFont="1" applyBorder="1" applyAlignment="1">
      <alignment horizontal="center"/>
    </xf>
    <xf numFmtId="0" fontId="5" fillId="0" borderId="15" xfId="0" applyNumberFormat="1" applyFont="1" applyBorder="1" applyAlignment="1">
      <alignment horizontal="center"/>
    </xf>
    <xf numFmtId="0" fontId="1" fillId="0" borderId="27" xfId="0" applyNumberFormat="1" applyFont="1" applyBorder="1" applyAlignment="1">
      <alignment horizontal="left"/>
    </xf>
    <xf numFmtId="0" fontId="1" fillId="0" borderId="72" xfId="0" applyNumberFormat="1" applyFont="1" applyBorder="1" applyAlignment="1">
      <alignment horizontal="left"/>
    </xf>
    <xf numFmtId="1" fontId="1" fillId="0" borderId="73" xfId="0" applyNumberFormat="1" applyFont="1" applyBorder="1" applyAlignment="1">
      <alignment horizontal="left"/>
    </xf>
    <xf numFmtId="0" fontId="11" fillId="0" borderId="48" xfId="0" applyNumberFormat="1" applyFont="1" applyBorder="1" applyAlignment="1">
      <alignment horizontal="left"/>
    </xf>
    <xf numFmtId="0" fontId="11" fillId="0" borderId="29" xfId="0" applyNumberFormat="1" applyFont="1" applyBorder="1" applyAlignment="1">
      <alignment horizontal="left"/>
    </xf>
    <xf numFmtId="0" fontId="2" fillId="0" borderId="7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0" fontId="2" fillId="0" borderId="4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0" xfId="0" applyNumberFormat="1" applyFont="1" applyBorder="1" applyAlignment="1">
      <alignment horizontal="left"/>
    </xf>
    <xf numFmtId="1" fontId="2" fillId="0" borderId="3" xfId="0" applyNumberFormat="1" applyFont="1" applyBorder="1" applyAlignment="1">
      <alignment horizontal="left"/>
    </xf>
    <xf numFmtId="0" fontId="2" fillId="0" borderId="37" xfId="0" applyNumberFormat="1" applyFont="1" applyBorder="1" applyAlignment="1">
      <alignment horizontal="center" vertical="center"/>
    </xf>
    <xf numFmtId="0" fontId="5" fillId="0" borderId="37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2" fontId="4" fillId="0" borderId="38" xfId="0" applyNumberFormat="1" applyFont="1" applyBorder="1" applyAlignment="1">
      <alignment horizontal="center" vertical="center"/>
    </xf>
    <xf numFmtId="2" fontId="4" fillId="0" borderId="46" xfId="0" applyNumberFormat="1" applyFont="1" applyBorder="1" applyAlignment="1">
      <alignment horizontal="center" vertical="center"/>
    </xf>
    <xf numFmtId="2" fontId="4" fillId="0" borderId="51" xfId="0" applyNumberFormat="1" applyFont="1" applyBorder="1" applyAlignment="1">
      <alignment horizontal="center" vertical="center"/>
    </xf>
    <xf numFmtId="2" fontId="4" fillId="0" borderId="54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0" fontId="1" fillId="0" borderId="95" xfId="0" applyNumberFormat="1" applyFont="1" applyBorder="1" applyAlignment="1">
      <alignment horizontal="center" vertical="center"/>
    </xf>
    <xf numFmtId="0" fontId="1" fillId="0" borderId="96" xfId="0" applyNumberFormat="1" applyFont="1" applyBorder="1" applyAlignment="1">
      <alignment horizontal="center" vertical="center"/>
    </xf>
    <xf numFmtId="0" fontId="11" fillId="3" borderId="38" xfId="0" applyNumberFormat="1" applyFont="1" applyFill="1" applyBorder="1" applyAlignment="1">
      <alignment horizontal="left" vertical="center"/>
    </xf>
    <xf numFmtId="0" fontId="1" fillId="3" borderId="46" xfId="0" applyNumberFormat="1" applyFont="1" applyFill="1" applyBorder="1" applyAlignment="1">
      <alignment horizontal="left" vertical="center"/>
    </xf>
    <xf numFmtId="0" fontId="1" fillId="3" borderId="38" xfId="0" applyNumberFormat="1" applyFont="1" applyFill="1" applyBorder="1" applyAlignment="1">
      <alignment horizontal="left" vertical="center"/>
    </xf>
    <xf numFmtId="0" fontId="1" fillId="3" borderId="41" xfId="0" applyNumberFormat="1" applyFont="1" applyFill="1" applyBorder="1" applyAlignment="1">
      <alignment horizontal="left" vertical="center"/>
    </xf>
    <xf numFmtId="0" fontId="2" fillId="4" borderId="7" xfId="0" applyNumberFormat="1" applyFont="1" applyFill="1" applyBorder="1" applyAlignment="1">
      <alignment horizontal="center"/>
    </xf>
    <xf numFmtId="0" fontId="9" fillId="3" borderId="13" xfId="0" applyNumberFormat="1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1" fillId="0" borderId="94" xfId="0" applyNumberFormat="1" applyFont="1" applyBorder="1" applyAlignment="1">
      <alignment horizontal="center" vertical="center"/>
    </xf>
  </cellXfs>
  <cellStyles count="2">
    <cellStyle name="Normal" xfId="0" builtinId="0"/>
    <cellStyle name="Normal 3" xfId="1" xr:uid="{00000000-0005-0000-0000-000001000000}"/>
  </cellStyles>
  <dxfs count="6">
    <dxf>
      <fill>
        <patternFill patternType="solid">
          <fgColor indexed="11"/>
          <bgColor indexed="12"/>
        </patternFill>
      </fill>
    </dxf>
    <dxf>
      <fill>
        <patternFill patternType="solid">
          <fgColor indexed="11"/>
          <bgColor indexed="12"/>
        </patternFill>
      </fill>
    </dxf>
    <dxf>
      <fill>
        <patternFill patternType="solid">
          <fgColor indexed="11"/>
          <bgColor indexed="12"/>
        </patternFill>
      </fill>
    </dxf>
    <dxf>
      <fill>
        <patternFill patternType="solid">
          <fgColor indexed="11"/>
          <bgColor indexed="12"/>
        </patternFill>
      </fill>
    </dxf>
    <dxf>
      <fill>
        <patternFill patternType="solid">
          <fgColor indexed="11"/>
          <bgColor indexed="12"/>
        </patternFill>
      </fill>
    </dxf>
    <dxf>
      <fill>
        <patternFill patternType="solid">
          <fgColor indexed="11"/>
          <bgColor indexed="12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C0C0C0"/>
      <rgbColor rgb="FFAAAAAA"/>
      <rgbColor rgb="00000000"/>
      <rgbColor rgb="FFFFFF00"/>
      <rgbColor rgb="FFBDC0BF"/>
      <rgbColor rgb="FFDBDBDB"/>
      <rgbColor rgb="FFF4F4F4"/>
      <rgbColor rgb="FF0000D4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63</xdr:row>
      <xdr:rowOff>87324</xdr:rowOff>
    </xdr:from>
    <xdr:to>
      <xdr:col>0</xdr:col>
      <xdr:colOff>0</xdr:colOff>
      <xdr:row>66</xdr:row>
      <xdr:rowOff>88524</xdr:rowOff>
    </xdr:to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11545900"/>
          <a:ext cx="0" cy="4584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63</xdr:row>
      <xdr:rowOff>88524</xdr:rowOff>
    </xdr:from>
    <xdr:to>
      <xdr:col>0</xdr:col>
      <xdr:colOff>0</xdr:colOff>
      <xdr:row>66</xdr:row>
      <xdr:rowOff>88524</xdr:rowOff>
    </xdr:to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11547100"/>
          <a:ext cx="0" cy="4572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63</xdr:row>
      <xdr:rowOff>69326</xdr:rowOff>
    </xdr:from>
    <xdr:to>
      <xdr:col>0</xdr:col>
      <xdr:colOff>0</xdr:colOff>
      <xdr:row>66</xdr:row>
      <xdr:rowOff>60325</xdr:rowOff>
    </xdr:to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11527901"/>
          <a:ext cx="0" cy="4482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63</xdr:row>
      <xdr:rowOff>87324</xdr:rowOff>
    </xdr:from>
    <xdr:to>
      <xdr:col>0</xdr:col>
      <xdr:colOff>0</xdr:colOff>
      <xdr:row>66</xdr:row>
      <xdr:rowOff>88524</xdr:rowOff>
    </xdr:to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1164899"/>
          <a:ext cx="0" cy="4584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63</xdr:row>
      <xdr:rowOff>88524</xdr:rowOff>
    </xdr:from>
    <xdr:to>
      <xdr:col>0</xdr:col>
      <xdr:colOff>0</xdr:colOff>
      <xdr:row>66</xdr:row>
      <xdr:rowOff>88524</xdr:rowOff>
    </xdr:to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11166099"/>
          <a:ext cx="0" cy="4572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63</xdr:row>
      <xdr:rowOff>69326</xdr:rowOff>
    </xdr:from>
    <xdr:to>
      <xdr:col>0</xdr:col>
      <xdr:colOff>0</xdr:colOff>
      <xdr:row>66</xdr:row>
      <xdr:rowOff>60325</xdr:rowOff>
    </xdr:to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11146901"/>
          <a:ext cx="0" cy="448199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687585</xdr:colOff>
      <xdr:row>254</xdr:row>
      <xdr:rowOff>11558</xdr:rowOff>
    </xdr:from>
    <xdr:to>
      <xdr:col>8</xdr:col>
      <xdr:colOff>687585</xdr:colOff>
      <xdr:row>256</xdr:row>
      <xdr:rowOff>0</xdr:rowOff>
    </xdr:to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919986" y="50574648"/>
          <a:ext cx="0" cy="587300"/>
        </a:xfrm>
        <a:prstGeom prst="line">
          <a:avLst/>
        </a:prstGeom>
        <a:noFill/>
        <a:ln w="9525" cap="flat" cmpd="sng" algn="ctr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rot="0" spcFirstLastPara="1" vertOverflow="overflow" horzOverflow="overflow" vert="horz" wrap="square" lIns="91440" tIns="45720" rIns="91440" bIns="45720" numCol="1" spcCol="38100" rtlCol="0" anchor="t">
          <a:prstTxWarp prst="textNoShape">
            <a:avLst/>
          </a:prstTxWarp>
          <a:noAutofit/>
        </a:bodyPr>
        <a:lstStyle>
          <a:defPPr>
            <a:defRPr>
              <a:solidFill>
                <a:srgbClr val="000000"/>
              </a:solidFill>
            </a:defRPr>
          </a:defPPr>
          <a:lvl1pPr>
            <a:defRPr>
              <a:solidFill>
                <a:srgbClr val="000000"/>
              </a:solidFill>
            </a:defRPr>
          </a:lvl1pPr>
          <a:lvl2pPr>
            <a:defRPr>
              <a:solidFill>
                <a:srgbClr val="000000"/>
              </a:solidFill>
            </a:defRPr>
          </a:lvl2pPr>
          <a:lvl3pPr>
            <a:defRPr>
              <a:solidFill>
                <a:srgbClr val="000000"/>
              </a:solidFill>
            </a:defRPr>
          </a:lvl3pPr>
          <a:lvl4pPr>
            <a:defRPr>
              <a:solidFill>
                <a:srgbClr val="000000"/>
              </a:solidFill>
            </a:defRPr>
          </a:lvl4pPr>
          <a:lvl5pPr>
            <a:defRPr>
              <a:solidFill>
                <a:srgbClr val="000000"/>
              </a:solidFill>
            </a:defRPr>
          </a:lvl5pPr>
          <a:lvl6pPr>
            <a:defRPr>
              <a:solidFill>
                <a:srgbClr val="000000"/>
              </a:solidFill>
            </a:defRPr>
          </a:lvl6pPr>
          <a:lvl7pPr>
            <a:defRPr>
              <a:solidFill>
                <a:srgbClr val="000000"/>
              </a:solidFill>
            </a:defRPr>
          </a:lvl7pPr>
          <a:lvl8pPr>
            <a:defRPr>
              <a:solidFill>
                <a:srgbClr val="000000"/>
              </a:solidFill>
            </a:defRPr>
          </a:lvl8pPr>
          <a:lvl9pPr>
            <a:defRPr>
              <a:solidFill>
                <a:srgbClr val="000000"/>
              </a:solidFill>
            </a:defRPr>
          </a:lvl9pPr>
        </a:lstStyle>
        <a:p>
          <a:pPr>
            <a:defRPr>
              <a:solidFill>
                <a:srgbClr val="000000"/>
              </a:solidFill>
            </a:defRPr>
          </a:pPr>
          <a:endParaRPr>
            <a:solidFill>
              <a:srgbClr val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1"/>
  <sheetViews>
    <sheetView workbookViewId="0">
      <selection activeCell="B1" sqref="B1"/>
    </sheetView>
  </sheetViews>
  <sheetFormatPr defaultRowHeight="15" x14ac:dyDescent="0.2"/>
  <cols>
    <col min="1" max="1" width="22.5" style="152" customWidth="1"/>
    <col min="2" max="2" width="73.296875" customWidth="1"/>
  </cols>
  <sheetData>
    <row r="1" spans="1:2" x14ac:dyDescent="0.2">
      <c r="A1" s="153" t="s">
        <v>101</v>
      </c>
    </row>
    <row r="2" spans="1:2" ht="45" x14ac:dyDescent="0.2">
      <c r="A2" s="171" t="s">
        <v>125</v>
      </c>
      <c r="B2" s="154" t="s">
        <v>145</v>
      </c>
    </row>
    <row r="3" spans="1:2" ht="45" x14ac:dyDescent="0.2">
      <c r="A3" s="171" t="s">
        <v>126</v>
      </c>
      <c r="B3" s="154" t="s">
        <v>146</v>
      </c>
    </row>
    <row r="4" spans="1:2" ht="45" x14ac:dyDescent="0.2">
      <c r="A4" s="171" t="s">
        <v>127</v>
      </c>
      <c r="B4" s="154" t="s">
        <v>147</v>
      </c>
    </row>
    <row r="5" spans="1:2" ht="45" x14ac:dyDescent="0.2">
      <c r="A5" s="155" t="s">
        <v>131</v>
      </c>
      <c r="B5" s="154" t="s">
        <v>141</v>
      </c>
    </row>
    <row r="6" spans="1:2" ht="45" x14ac:dyDescent="0.2">
      <c r="A6" s="155" t="s">
        <v>132</v>
      </c>
      <c r="B6" s="154" t="s">
        <v>142</v>
      </c>
    </row>
    <row r="7" spans="1:2" ht="45" x14ac:dyDescent="0.2">
      <c r="A7" s="155" t="s">
        <v>133</v>
      </c>
      <c r="B7" s="154" t="s">
        <v>143</v>
      </c>
    </row>
    <row r="8" spans="1:2" ht="120" x14ac:dyDescent="0.2">
      <c r="A8" s="156" t="s">
        <v>100</v>
      </c>
      <c r="B8" s="154" t="s">
        <v>167</v>
      </c>
    </row>
    <row r="9" spans="1:2" ht="45" x14ac:dyDescent="0.2">
      <c r="A9" s="172" t="s">
        <v>128</v>
      </c>
      <c r="B9" s="154" t="s">
        <v>102</v>
      </c>
    </row>
    <row r="10" spans="1:2" ht="45" x14ac:dyDescent="0.2">
      <c r="A10" s="172" t="s">
        <v>129</v>
      </c>
      <c r="B10" s="154" t="s">
        <v>102</v>
      </c>
    </row>
    <row r="11" spans="1:2" ht="45" x14ac:dyDescent="0.2">
      <c r="A11" s="172" t="s">
        <v>130</v>
      </c>
      <c r="B11" s="154" t="s">
        <v>102</v>
      </c>
    </row>
  </sheetData>
  <pageMargins left="0.7" right="0.7" top="0.75" bottom="0.75" header="0.3" footer="0.3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  <pageSetUpPr fitToPage="1"/>
  </sheetPr>
  <dimension ref="A1:IT45"/>
  <sheetViews>
    <sheetView showGridLines="0" zoomScaleNormal="100" workbookViewId="0">
      <selection activeCell="J17" sqref="J17"/>
    </sheetView>
  </sheetViews>
  <sheetFormatPr defaultColWidth="6.59765625" defaultRowHeight="12" customHeight="1" x14ac:dyDescent="0.2"/>
  <cols>
    <col min="1" max="1" width="3" style="1" customWidth="1"/>
    <col min="2" max="2" width="14.19921875" style="1" customWidth="1"/>
    <col min="3" max="4" width="15.5" style="1" customWidth="1"/>
    <col min="5" max="5" width="3" style="1" customWidth="1"/>
    <col min="6" max="6" width="14.5" style="1" customWidth="1"/>
    <col min="7" max="8" width="15.5" style="1" customWidth="1"/>
    <col min="9" max="9" width="0.59765625" style="1" customWidth="1"/>
    <col min="10" max="10" width="22.3984375" style="1" customWidth="1"/>
    <col min="11" max="254" width="6.59765625" style="1" customWidth="1"/>
  </cols>
  <sheetData>
    <row r="1" spans="1:10" ht="12" customHeight="1" x14ac:dyDescent="0.2">
      <c r="A1" s="203"/>
      <c r="B1" s="204"/>
      <c r="C1" s="204"/>
      <c r="D1" s="205"/>
      <c r="E1" s="204"/>
      <c r="F1" s="204"/>
      <c r="G1" s="204"/>
      <c r="H1" s="206"/>
      <c r="I1" s="212"/>
      <c r="J1" s="7"/>
    </row>
    <row r="2" spans="1:10" ht="15.75" x14ac:dyDescent="0.25">
      <c r="A2" s="249" t="s">
        <v>0</v>
      </c>
      <c r="B2" s="250"/>
      <c r="C2" s="250"/>
      <c r="D2" s="250"/>
      <c r="E2" s="250"/>
      <c r="F2" s="250"/>
      <c r="G2" s="250"/>
      <c r="H2" s="251"/>
      <c r="I2" s="28"/>
      <c r="J2" s="9"/>
    </row>
    <row r="3" spans="1:10" ht="15" customHeight="1" thickBot="1" x14ac:dyDescent="0.25">
      <c r="A3" s="207"/>
      <c r="B3" s="208"/>
      <c r="C3" s="209"/>
      <c r="D3" s="210"/>
      <c r="E3" s="209"/>
      <c r="F3" s="209"/>
      <c r="G3" s="209"/>
      <c r="H3" s="211"/>
      <c r="I3" s="28"/>
      <c r="J3" s="9"/>
    </row>
    <row r="4" spans="1:10" ht="15.95" customHeight="1" thickBot="1" x14ac:dyDescent="0.25">
      <c r="A4" s="199" t="s">
        <v>123</v>
      </c>
      <c r="B4" s="200"/>
      <c r="C4" s="255" t="s">
        <v>206</v>
      </c>
      <c r="D4" s="256"/>
      <c r="E4" s="201" t="str">
        <f>A4</f>
        <v>Team 1:</v>
      </c>
      <c r="F4" s="200"/>
      <c r="G4" s="201"/>
      <c r="H4" s="200"/>
      <c r="I4" s="8"/>
      <c r="J4" s="9"/>
    </row>
    <row r="5" spans="1:10" ht="15.95" customHeight="1" thickBot="1" x14ac:dyDescent="0.25">
      <c r="A5" s="99" t="s">
        <v>74</v>
      </c>
      <c r="B5" s="18" t="s">
        <v>1</v>
      </c>
      <c r="C5" s="18" t="s">
        <v>2</v>
      </c>
      <c r="D5" s="18" t="s">
        <v>14</v>
      </c>
      <c r="E5" s="100" t="s">
        <v>74</v>
      </c>
      <c r="F5" s="18" t="s">
        <v>1</v>
      </c>
      <c r="G5" s="18" t="s">
        <v>2</v>
      </c>
      <c r="H5" s="18" t="s">
        <v>14</v>
      </c>
      <c r="I5" s="8"/>
      <c r="J5" s="9"/>
    </row>
    <row r="6" spans="1:10" ht="15" customHeight="1" x14ac:dyDescent="0.2">
      <c r="A6" s="252">
        <v>1</v>
      </c>
      <c r="B6" s="246" t="s">
        <v>5</v>
      </c>
      <c r="C6" s="19" t="s">
        <v>208</v>
      </c>
      <c r="D6" s="19" t="s">
        <v>209</v>
      </c>
      <c r="E6" s="252">
        <v>2</v>
      </c>
      <c r="F6" s="246" t="s">
        <v>6</v>
      </c>
      <c r="G6" s="19" t="s">
        <v>224</v>
      </c>
      <c r="H6" s="19" t="s">
        <v>225</v>
      </c>
      <c r="I6" s="8"/>
      <c r="J6" s="9"/>
    </row>
    <row r="7" spans="1:10" ht="15" customHeight="1" x14ac:dyDescent="0.2">
      <c r="A7" s="253"/>
      <c r="B7" s="247"/>
      <c r="C7" s="121" t="s">
        <v>210</v>
      </c>
      <c r="D7" s="121" t="s">
        <v>211</v>
      </c>
      <c r="E7" s="253"/>
      <c r="F7" s="247"/>
      <c r="G7" s="121" t="s">
        <v>233</v>
      </c>
      <c r="H7" s="121" t="s">
        <v>228</v>
      </c>
      <c r="I7" s="8"/>
      <c r="J7" s="9"/>
    </row>
    <row r="8" spans="1:10" ht="15" customHeight="1" x14ac:dyDescent="0.2">
      <c r="A8" s="253"/>
      <c r="B8" s="247"/>
      <c r="C8" s="20" t="s">
        <v>212</v>
      </c>
      <c r="D8" s="20" t="s">
        <v>213</v>
      </c>
      <c r="E8" s="253"/>
      <c r="F8" s="247"/>
      <c r="G8" s="20" t="s">
        <v>234</v>
      </c>
      <c r="H8" s="20" t="s">
        <v>235</v>
      </c>
      <c r="I8" s="8"/>
      <c r="J8" s="9"/>
    </row>
    <row r="9" spans="1:10" ht="15.95" customHeight="1" thickBot="1" x14ac:dyDescent="0.25">
      <c r="A9" s="254"/>
      <c r="B9" s="248"/>
      <c r="C9" s="123" t="s">
        <v>214</v>
      </c>
      <c r="D9" s="123" t="s">
        <v>215</v>
      </c>
      <c r="E9" s="254"/>
      <c r="F9" s="248"/>
      <c r="G9" s="123" t="s">
        <v>232</v>
      </c>
      <c r="H9" s="123" t="s">
        <v>236</v>
      </c>
      <c r="I9" s="8"/>
      <c r="J9" s="9"/>
    </row>
    <row r="10" spans="1:10" ht="15" customHeight="1" x14ac:dyDescent="0.2">
      <c r="A10" s="252">
        <v>3</v>
      </c>
      <c r="B10" s="246" t="s">
        <v>7</v>
      </c>
      <c r="C10" s="149" t="s">
        <v>216</v>
      </c>
      <c r="D10" s="19" t="s">
        <v>217</v>
      </c>
      <c r="E10" s="252">
        <v>4</v>
      </c>
      <c r="F10" s="246" t="s">
        <v>8</v>
      </c>
      <c r="G10" s="19" t="s">
        <v>230</v>
      </c>
      <c r="H10" s="19" t="s">
        <v>237</v>
      </c>
      <c r="I10" s="8"/>
      <c r="J10" s="9"/>
    </row>
    <row r="11" spans="1:10" ht="15" customHeight="1" x14ac:dyDescent="0.2">
      <c r="A11" s="253"/>
      <c r="B11" s="247"/>
      <c r="C11" s="147" t="s">
        <v>218</v>
      </c>
      <c r="D11" s="135" t="s">
        <v>219</v>
      </c>
      <c r="E11" s="253"/>
      <c r="F11" s="247"/>
      <c r="G11" s="135" t="s">
        <v>229</v>
      </c>
      <c r="H11" s="135" t="s">
        <v>238</v>
      </c>
      <c r="I11" s="8"/>
      <c r="J11" s="9"/>
    </row>
    <row r="12" spans="1:10" ht="15" customHeight="1" x14ac:dyDescent="0.2">
      <c r="A12" s="253"/>
      <c r="B12" s="247"/>
      <c r="C12" s="146" t="s">
        <v>220</v>
      </c>
      <c r="D12" s="20" t="s">
        <v>221</v>
      </c>
      <c r="E12" s="253"/>
      <c r="F12" s="247"/>
      <c r="G12" s="20" t="s">
        <v>239</v>
      </c>
      <c r="H12" s="20" t="s">
        <v>231</v>
      </c>
      <c r="I12" s="8"/>
      <c r="J12" s="9"/>
    </row>
    <row r="13" spans="1:10" ht="15.95" customHeight="1" thickBot="1" x14ac:dyDescent="0.25">
      <c r="A13" s="254"/>
      <c r="B13" s="248"/>
      <c r="C13" s="148" t="s">
        <v>222</v>
      </c>
      <c r="D13" s="136" t="s">
        <v>223</v>
      </c>
      <c r="E13" s="254"/>
      <c r="F13" s="248"/>
      <c r="G13" s="136" t="s">
        <v>240</v>
      </c>
      <c r="H13" s="136" t="s">
        <v>227</v>
      </c>
      <c r="I13" s="8"/>
      <c r="J13" s="9"/>
    </row>
    <row r="14" spans="1:10" ht="15" customHeight="1" x14ac:dyDescent="0.2">
      <c r="A14" s="21">
        <v>5</v>
      </c>
      <c r="B14" s="96" t="s">
        <v>42</v>
      </c>
      <c r="C14" s="19" t="s">
        <v>215</v>
      </c>
      <c r="D14" s="19" t="s">
        <v>209</v>
      </c>
      <c r="E14" s="21">
        <v>6</v>
      </c>
      <c r="F14" s="96" t="s">
        <v>58</v>
      </c>
      <c r="G14" s="19" t="s">
        <v>214</v>
      </c>
      <c r="H14" s="19" t="s">
        <v>213</v>
      </c>
      <c r="I14" s="8"/>
      <c r="J14" s="9"/>
    </row>
    <row r="15" spans="1:10" ht="15" customHeight="1" x14ac:dyDescent="0.2">
      <c r="A15" s="22">
        <v>7</v>
      </c>
      <c r="B15" s="97" t="s">
        <v>43</v>
      </c>
      <c r="C15" s="20" t="s">
        <v>224</v>
      </c>
      <c r="D15" s="20" t="s">
        <v>225</v>
      </c>
      <c r="E15" s="22">
        <v>8</v>
      </c>
      <c r="F15" s="97" t="s">
        <v>59</v>
      </c>
      <c r="G15" s="20" t="s">
        <v>236</v>
      </c>
      <c r="H15" s="20" t="s">
        <v>235</v>
      </c>
      <c r="I15" s="8"/>
      <c r="J15" s="9"/>
    </row>
    <row r="16" spans="1:10" ht="15" customHeight="1" x14ac:dyDescent="0.2">
      <c r="A16" s="22">
        <v>9</v>
      </c>
      <c r="B16" s="97" t="s">
        <v>44</v>
      </c>
      <c r="C16" s="20" t="s">
        <v>219</v>
      </c>
      <c r="D16" s="20" t="s">
        <v>223</v>
      </c>
      <c r="E16" s="22">
        <v>10</v>
      </c>
      <c r="F16" s="97" t="s">
        <v>60</v>
      </c>
      <c r="G16" s="20" t="s">
        <v>221</v>
      </c>
      <c r="H16" s="20" t="s">
        <v>241</v>
      </c>
      <c r="I16" s="8"/>
      <c r="J16" s="9"/>
    </row>
    <row r="17" spans="1:10" ht="15.95" customHeight="1" thickBot="1" x14ac:dyDescent="0.25">
      <c r="A17" s="23">
        <v>11</v>
      </c>
      <c r="B17" s="98" t="s">
        <v>45</v>
      </c>
      <c r="C17" s="198" t="s">
        <v>226</v>
      </c>
      <c r="D17" s="198" t="s">
        <v>227</v>
      </c>
      <c r="E17" s="23">
        <v>12</v>
      </c>
      <c r="F17" s="98" t="s">
        <v>61</v>
      </c>
      <c r="G17" s="198" t="s">
        <v>238</v>
      </c>
      <c r="H17" s="198" t="s">
        <v>237</v>
      </c>
      <c r="I17" s="8"/>
      <c r="J17" s="9"/>
    </row>
    <row r="18" spans="1:10" ht="15" customHeight="1" x14ac:dyDescent="0.2">
      <c r="A18" s="21">
        <v>13</v>
      </c>
      <c r="B18" s="96" t="s">
        <v>46</v>
      </c>
      <c r="C18" s="19" t="s">
        <v>212</v>
      </c>
      <c r="D18" s="19" t="s">
        <v>215</v>
      </c>
      <c r="E18" s="21">
        <v>14</v>
      </c>
      <c r="F18" s="96" t="s">
        <v>62</v>
      </c>
      <c r="G18" s="19" t="s">
        <v>211</v>
      </c>
      <c r="H18" s="19" t="s">
        <v>213</v>
      </c>
      <c r="I18" s="8"/>
      <c r="J18" s="9"/>
    </row>
    <row r="19" spans="1:10" ht="15" customHeight="1" x14ac:dyDescent="0.2">
      <c r="A19" s="22">
        <v>15</v>
      </c>
      <c r="B19" s="97" t="s">
        <v>47</v>
      </c>
      <c r="C19" s="20" t="s">
        <v>225</v>
      </c>
      <c r="D19" s="20" t="s">
        <v>228</v>
      </c>
      <c r="E19" s="22">
        <v>16</v>
      </c>
      <c r="F19" s="97" t="s">
        <v>63</v>
      </c>
      <c r="G19" s="20" t="s">
        <v>233</v>
      </c>
      <c r="H19" s="20" t="s">
        <v>235</v>
      </c>
      <c r="I19" s="8"/>
      <c r="J19" s="9"/>
    </row>
    <row r="20" spans="1:10" ht="15" customHeight="1" x14ac:dyDescent="0.2">
      <c r="A20" s="22">
        <v>17</v>
      </c>
      <c r="B20" s="97" t="s">
        <v>48</v>
      </c>
      <c r="C20" s="20" t="s">
        <v>223</v>
      </c>
      <c r="D20" s="20" t="s">
        <v>219</v>
      </c>
      <c r="E20" s="22">
        <v>18</v>
      </c>
      <c r="F20" s="97" t="s">
        <v>64</v>
      </c>
      <c r="G20" s="20" t="s">
        <v>221</v>
      </c>
      <c r="H20" s="20" t="s">
        <v>241</v>
      </c>
      <c r="I20" s="8"/>
      <c r="J20" s="9"/>
    </row>
    <row r="21" spans="1:10" ht="15.95" customHeight="1" thickBot="1" x14ac:dyDescent="0.25">
      <c r="A21" s="23">
        <v>19</v>
      </c>
      <c r="B21" s="98" t="s">
        <v>49</v>
      </c>
      <c r="C21" s="198" t="s">
        <v>229</v>
      </c>
      <c r="D21" s="198" t="s">
        <v>230</v>
      </c>
      <c r="E21" s="23">
        <v>20</v>
      </c>
      <c r="F21" s="98" t="s">
        <v>65</v>
      </c>
      <c r="G21" s="198" t="s">
        <v>237</v>
      </c>
      <c r="H21" s="198" t="s">
        <v>238</v>
      </c>
      <c r="I21" s="8"/>
      <c r="J21" s="9"/>
    </row>
    <row r="22" spans="1:10" ht="15" customHeight="1" x14ac:dyDescent="0.2">
      <c r="A22" s="21">
        <v>21</v>
      </c>
      <c r="B22" s="96" t="s">
        <v>50</v>
      </c>
      <c r="C22" s="19" t="s">
        <v>208</v>
      </c>
      <c r="D22" s="19" t="s">
        <v>215</v>
      </c>
      <c r="E22" s="21">
        <v>22</v>
      </c>
      <c r="F22" s="96" t="s">
        <v>66</v>
      </c>
      <c r="G22" s="19" t="s">
        <v>211</v>
      </c>
      <c r="H22" s="19" t="s">
        <v>213</v>
      </c>
      <c r="I22" s="8"/>
      <c r="J22" s="24"/>
    </row>
    <row r="23" spans="1:10" ht="15" customHeight="1" x14ac:dyDescent="0.2">
      <c r="A23" s="22">
        <v>23</v>
      </c>
      <c r="B23" s="97" t="s">
        <v>51</v>
      </c>
      <c r="C23" s="20" t="s">
        <v>225</v>
      </c>
      <c r="D23" s="20" t="s">
        <v>228</v>
      </c>
      <c r="E23" s="22">
        <v>24</v>
      </c>
      <c r="F23" s="97" t="s">
        <v>67</v>
      </c>
      <c r="G23" s="20" t="s">
        <v>234</v>
      </c>
      <c r="H23" s="20" t="s">
        <v>235</v>
      </c>
      <c r="I23" s="8"/>
      <c r="J23" s="24"/>
    </row>
    <row r="24" spans="1:10" ht="15" customHeight="1" x14ac:dyDescent="0.2">
      <c r="A24" s="22">
        <v>25</v>
      </c>
      <c r="B24" s="97" t="s">
        <v>52</v>
      </c>
      <c r="C24" s="20" t="s">
        <v>219</v>
      </c>
      <c r="D24" s="20" t="s">
        <v>220</v>
      </c>
      <c r="E24" s="22">
        <v>26</v>
      </c>
      <c r="F24" s="97" t="s">
        <v>68</v>
      </c>
      <c r="G24" s="20" t="s">
        <v>241</v>
      </c>
      <c r="H24" s="20" t="s">
        <v>221</v>
      </c>
      <c r="I24" s="8"/>
      <c r="J24" s="24"/>
    </row>
    <row r="25" spans="1:10" ht="15.95" customHeight="1" thickBot="1" x14ac:dyDescent="0.25">
      <c r="A25" s="23">
        <v>27</v>
      </c>
      <c r="B25" s="98" t="s">
        <v>53</v>
      </c>
      <c r="C25" s="198" t="s">
        <v>231</v>
      </c>
      <c r="D25" s="198" t="s">
        <v>227</v>
      </c>
      <c r="E25" s="23">
        <v>28</v>
      </c>
      <c r="F25" s="98" t="s">
        <v>69</v>
      </c>
      <c r="G25" s="198" t="s">
        <v>240</v>
      </c>
      <c r="H25" s="198" t="s">
        <v>237</v>
      </c>
      <c r="I25" s="8"/>
      <c r="J25" s="9"/>
    </row>
    <row r="26" spans="1:10" ht="15" customHeight="1" x14ac:dyDescent="0.2">
      <c r="A26" s="21">
        <v>29</v>
      </c>
      <c r="B26" s="96" t="s">
        <v>54</v>
      </c>
      <c r="C26" s="19" t="s">
        <v>209</v>
      </c>
      <c r="D26" s="19" t="s">
        <v>215</v>
      </c>
      <c r="E26" s="21">
        <v>30</v>
      </c>
      <c r="F26" s="96" t="s">
        <v>70</v>
      </c>
      <c r="G26" s="19" t="s">
        <v>242</v>
      </c>
      <c r="H26" s="19" t="s">
        <v>214</v>
      </c>
      <c r="I26" s="8"/>
      <c r="J26" s="9"/>
    </row>
    <row r="27" spans="1:10" ht="15" customHeight="1" x14ac:dyDescent="0.2">
      <c r="A27" s="22">
        <v>31</v>
      </c>
      <c r="B27" s="97" t="s">
        <v>55</v>
      </c>
      <c r="C27" s="20" t="s">
        <v>232</v>
      </c>
      <c r="D27" s="20" t="s">
        <v>225</v>
      </c>
      <c r="E27" s="22">
        <v>32</v>
      </c>
      <c r="F27" s="97" t="s">
        <v>71</v>
      </c>
      <c r="G27" s="20" t="s">
        <v>236</v>
      </c>
      <c r="H27" s="20" t="s">
        <v>235</v>
      </c>
      <c r="I27" s="8"/>
      <c r="J27" s="9"/>
    </row>
    <row r="28" spans="1:10" ht="15" customHeight="1" x14ac:dyDescent="0.2">
      <c r="A28" s="22">
        <v>33</v>
      </c>
      <c r="B28" s="97" t="s">
        <v>56</v>
      </c>
      <c r="C28" s="20" t="s">
        <v>220</v>
      </c>
      <c r="D28" s="20" t="s">
        <v>219</v>
      </c>
      <c r="E28" s="22">
        <v>34</v>
      </c>
      <c r="F28" s="97" t="s">
        <v>72</v>
      </c>
      <c r="G28" s="20" t="s">
        <v>241</v>
      </c>
      <c r="H28" s="20" t="s">
        <v>221</v>
      </c>
      <c r="I28" s="8"/>
      <c r="J28" s="9"/>
    </row>
    <row r="29" spans="1:10" ht="15.95" customHeight="1" thickBot="1" x14ac:dyDescent="0.25">
      <c r="A29" s="23">
        <v>35</v>
      </c>
      <c r="B29" s="98" t="s">
        <v>57</v>
      </c>
      <c r="C29" s="198" t="s">
        <v>231</v>
      </c>
      <c r="D29" s="198" t="s">
        <v>227</v>
      </c>
      <c r="E29" s="23">
        <v>36</v>
      </c>
      <c r="F29" s="98" t="s">
        <v>73</v>
      </c>
      <c r="G29" s="198" t="s">
        <v>237</v>
      </c>
      <c r="H29" s="198" t="s">
        <v>240</v>
      </c>
      <c r="I29" s="8"/>
      <c r="J29" s="9"/>
    </row>
    <row r="30" spans="1:10" ht="15" customHeight="1" x14ac:dyDescent="0.2">
      <c r="A30" s="252">
        <v>37</v>
      </c>
      <c r="B30" s="246" t="s">
        <v>9</v>
      </c>
      <c r="C30" s="19" t="s">
        <v>212</v>
      </c>
      <c r="D30" s="19" t="s">
        <v>209</v>
      </c>
      <c r="E30" s="252">
        <v>38</v>
      </c>
      <c r="F30" s="246" t="s">
        <v>10</v>
      </c>
      <c r="G30" s="19" t="s">
        <v>234</v>
      </c>
      <c r="H30" s="19" t="s">
        <v>225</v>
      </c>
      <c r="I30" s="8"/>
      <c r="J30" s="9"/>
    </row>
    <row r="31" spans="1:10" ht="15" customHeight="1" x14ac:dyDescent="0.2">
      <c r="A31" s="253"/>
      <c r="B31" s="247"/>
      <c r="C31" s="121" t="s">
        <v>210</v>
      </c>
      <c r="D31" s="121" t="s">
        <v>214</v>
      </c>
      <c r="E31" s="253"/>
      <c r="F31" s="247"/>
      <c r="G31" s="121" t="s">
        <v>233</v>
      </c>
      <c r="H31" s="121" t="s">
        <v>236</v>
      </c>
      <c r="I31" s="8"/>
      <c r="J31" s="9"/>
    </row>
    <row r="32" spans="1:10" ht="15" customHeight="1" x14ac:dyDescent="0.2">
      <c r="A32" s="253"/>
      <c r="B32" s="247"/>
      <c r="C32" s="20" t="s">
        <v>211</v>
      </c>
      <c r="D32" s="20" t="s">
        <v>213</v>
      </c>
      <c r="E32" s="253"/>
      <c r="F32" s="247"/>
      <c r="G32" s="20" t="s">
        <v>224</v>
      </c>
      <c r="H32" s="20" t="s">
        <v>232</v>
      </c>
      <c r="I32" s="8"/>
      <c r="J32" s="9"/>
    </row>
    <row r="33" spans="1:10" ht="15.95" customHeight="1" thickBot="1" x14ac:dyDescent="0.25">
      <c r="A33" s="254"/>
      <c r="B33" s="248"/>
      <c r="C33" s="123" t="s">
        <v>208</v>
      </c>
      <c r="D33" s="123" t="s">
        <v>215</v>
      </c>
      <c r="E33" s="254"/>
      <c r="F33" s="248"/>
      <c r="G33" s="123" t="s">
        <v>228</v>
      </c>
      <c r="H33" s="123" t="s">
        <v>235</v>
      </c>
      <c r="I33" s="8"/>
      <c r="J33" s="9"/>
    </row>
    <row r="34" spans="1:10" ht="15" customHeight="1" x14ac:dyDescent="0.2">
      <c r="A34" s="252">
        <v>39</v>
      </c>
      <c r="B34" s="246" t="s">
        <v>11</v>
      </c>
      <c r="C34" s="149" t="s">
        <v>219</v>
      </c>
      <c r="D34" s="19" t="s">
        <v>217</v>
      </c>
      <c r="E34" s="252">
        <v>40</v>
      </c>
      <c r="F34" s="246" t="s">
        <v>12</v>
      </c>
      <c r="G34" s="19" t="s">
        <v>226</v>
      </c>
      <c r="H34" s="19" t="s">
        <v>231</v>
      </c>
      <c r="I34" s="8"/>
      <c r="J34" s="9"/>
    </row>
    <row r="35" spans="1:10" ht="15" customHeight="1" x14ac:dyDescent="0.2">
      <c r="A35" s="253"/>
      <c r="B35" s="247"/>
      <c r="C35" s="147" t="s">
        <v>216</v>
      </c>
      <c r="D35" s="135" t="s">
        <v>220</v>
      </c>
      <c r="E35" s="253"/>
      <c r="F35" s="247"/>
      <c r="G35" s="135" t="s">
        <v>238</v>
      </c>
      <c r="H35" s="135" t="s">
        <v>237</v>
      </c>
      <c r="I35" s="8"/>
      <c r="J35" s="9"/>
    </row>
    <row r="36" spans="1:10" ht="15" customHeight="1" x14ac:dyDescent="0.2">
      <c r="A36" s="253"/>
      <c r="B36" s="247"/>
      <c r="C36" s="146" t="s">
        <v>218</v>
      </c>
      <c r="D36" s="20" t="s">
        <v>223</v>
      </c>
      <c r="E36" s="253"/>
      <c r="F36" s="247"/>
      <c r="G36" s="20" t="s">
        <v>239</v>
      </c>
      <c r="H36" s="20" t="s">
        <v>240</v>
      </c>
      <c r="I36" s="8"/>
      <c r="J36" s="9"/>
    </row>
    <row r="37" spans="1:10" ht="15.95" customHeight="1" thickBot="1" x14ac:dyDescent="0.25">
      <c r="A37" s="254"/>
      <c r="B37" s="248"/>
      <c r="C37" s="148" t="s">
        <v>222</v>
      </c>
      <c r="D37" s="136" t="s">
        <v>221</v>
      </c>
      <c r="E37" s="254"/>
      <c r="F37" s="248"/>
      <c r="G37" s="136" t="s">
        <v>230</v>
      </c>
      <c r="H37" s="136" t="s">
        <v>227</v>
      </c>
      <c r="I37" s="8"/>
      <c r="J37" s="9"/>
    </row>
    <row r="38" spans="1:10" ht="12" customHeight="1" x14ac:dyDescent="0.2">
      <c r="A38" s="25"/>
      <c r="B38" s="26"/>
      <c r="C38" s="26"/>
      <c r="D38" s="27"/>
      <c r="E38" s="26"/>
      <c r="F38" s="26"/>
      <c r="G38" s="26"/>
      <c r="H38" s="26"/>
      <c r="I38" s="28"/>
      <c r="J38" s="9"/>
    </row>
    <row r="39" spans="1:10" ht="12" customHeight="1" x14ac:dyDescent="0.2">
      <c r="A39" s="29"/>
      <c r="B39" s="28"/>
      <c r="C39" s="28"/>
      <c r="D39" s="30"/>
      <c r="E39" s="28"/>
      <c r="F39" s="28"/>
      <c r="G39" s="28"/>
      <c r="H39" s="28"/>
      <c r="I39" s="28"/>
      <c r="J39" s="9"/>
    </row>
    <row r="40" spans="1:10" ht="12" customHeight="1" x14ac:dyDescent="0.2">
      <c r="A40" s="29"/>
      <c r="B40" s="28"/>
      <c r="C40" s="31"/>
      <c r="D40" s="30"/>
      <c r="E40" s="28"/>
      <c r="F40" s="28"/>
      <c r="G40" s="28"/>
      <c r="H40" s="28"/>
      <c r="I40" s="28"/>
      <c r="J40" s="9"/>
    </row>
    <row r="41" spans="1:10" ht="12" customHeight="1" x14ac:dyDescent="0.2">
      <c r="A41" s="29"/>
      <c r="B41" s="28"/>
      <c r="C41" s="31"/>
      <c r="D41" s="30"/>
      <c r="E41" s="28"/>
      <c r="F41" s="28"/>
      <c r="G41" s="28"/>
      <c r="H41" s="28"/>
      <c r="I41" s="28"/>
      <c r="J41" s="9"/>
    </row>
    <row r="42" spans="1:10" ht="12" customHeight="1" x14ac:dyDescent="0.2">
      <c r="A42" s="29"/>
      <c r="B42" s="28"/>
      <c r="C42" s="31"/>
      <c r="D42" s="30"/>
      <c r="E42" s="28"/>
      <c r="F42" s="28"/>
      <c r="G42" s="28"/>
      <c r="H42" s="28"/>
      <c r="I42" s="28"/>
      <c r="J42" s="9"/>
    </row>
    <row r="43" spans="1:10" ht="12" customHeight="1" x14ac:dyDescent="0.2">
      <c r="A43" s="29"/>
      <c r="B43" s="28"/>
      <c r="C43" s="31"/>
      <c r="D43" s="30"/>
      <c r="E43" s="28"/>
      <c r="F43" s="28"/>
      <c r="G43" s="28"/>
      <c r="H43" s="28"/>
      <c r="I43" s="28"/>
      <c r="J43" s="9"/>
    </row>
    <row r="44" spans="1:10" ht="12" customHeight="1" x14ac:dyDescent="0.2">
      <c r="A44" s="29"/>
      <c r="B44" s="28"/>
      <c r="C44" s="31"/>
      <c r="D44" s="30"/>
      <c r="E44" s="28"/>
      <c r="F44" s="28"/>
      <c r="G44" s="28"/>
      <c r="H44" s="28"/>
      <c r="I44" s="28"/>
      <c r="J44" s="9"/>
    </row>
    <row r="45" spans="1:10" ht="12" customHeight="1" x14ac:dyDescent="0.2">
      <c r="A45" s="32"/>
      <c r="B45" s="33"/>
      <c r="C45" s="34"/>
      <c r="D45" s="35"/>
      <c r="E45" s="33"/>
      <c r="F45" s="33"/>
      <c r="G45" s="33"/>
      <c r="H45" s="33"/>
      <c r="I45" s="33"/>
      <c r="J45" s="36"/>
    </row>
  </sheetData>
  <mergeCells count="18">
    <mergeCell ref="E10:E13"/>
    <mergeCell ref="A10:A13"/>
    <mergeCell ref="F6:F9"/>
    <mergeCell ref="F10:F13"/>
    <mergeCell ref="F30:F33"/>
    <mergeCell ref="F34:F37"/>
    <mergeCell ref="A2:H2"/>
    <mergeCell ref="E34:E37"/>
    <mergeCell ref="A34:A37"/>
    <mergeCell ref="E6:E9"/>
    <mergeCell ref="A6:A9"/>
    <mergeCell ref="C4:D4"/>
    <mergeCell ref="B6:B9"/>
    <mergeCell ref="B10:B13"/>
    <mergeCell ref="B30:B33"/>
    <mergeCell ref="B34:B37"/>
    <mergeCell ref="E30:E33"/>
    <mergeCell ref="A30:A33"/>
  </mergeCells>
  <conditionalFormatting sqref="G4 C4">
    <cfRule type="cellIs" dxfId="5" priority="1" stopIfTrue="1" operator="equal">
      <formula>"Lurgan"</formula>
    </cfRule>
  </conditionalFormatting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  <pageSetUpPr fitToPage="1"/>
  </sheetPr>
  <dimension ref="A1:IR45"/>
  <sheetViews>
    <sheetView showGridLines="0" zoomScaleNormal="100" zoomScaleSheetLayoutView="90" workbookViewId="0">
      <selection activeCell="C4" sqref="C4:D4"/>
    </sheetView>
  </sheetViews>
  <sheetFormatPr defaultColWidth="6.59765625" defaultRowHeight="12" customHeight="1" x14ac:dyDescent="0.2"/>
  <cols>
    <col min="1" max="1" width="4" style="37" customWidth="1"/>
    <col min="2" max="2" width="14.296875" style="37" bestFit="1" customWidth="1"/>
    <col min="3" max="4" width="15.5" style="37" customWidth="1"/>
    <col min="5" max="5" width="3.8984375" style="37" customWidth="1"/>
    <col min="6" max="6" width="15.09765625" style="37" bestFit="1" customWidth="1"/>
    <col min="7" max="8" width="15.5" style="37" customWidth="1"/>
    <col min="9" max="9" width="11.3984375" style="37" customWidth="1"/>
    <col min="10" max="252" width="6.59765625" style="37" customWidth="1"/>
  </cols>
  <sheetData>
    <row r="1" spans="1:9" ht="12" customHeight="1" x14ac:dyDescent="0.2">
      <c r="A1" s="203"/>
      <c r="B1" s="204"/>
      <c r="C1" s="204"/>
      <c r="D1" s="205"/>
      <c r="E1" s="204"/>
      <c r="F1" s="204"/>
      <c r="G1" s="204"/>
      <c r="H1" s="206"/>
      <c r="I1" s="42"/>
    </row>
    <row r="2" spans="1:9" ht="15.75" x14ac:dyDescent="0.25">
      <c r="A2" s="249" t="s">
        <v>0</v>
      </c>
      <c r="B2" s="257"/>
      <c r="C2" s="257"/>
      <c r="D2" s="257"/>
      <c r="E2" s="257"/>
      <c r="F2" s="257"/>
      <c r="G2" s="257"/>
      <c r="H2" s="258"/>
      <c r="I2" s="42"/>
    </row>
    <row r="3" spans="1:9" ht="15" customHeight="1" thickBot="1" x14ac:dyDescent="0.25">
      <c r="A3" s="207"/>
      <c r="B3" s="208"/>
      <c r="C3" s="209"/>
      <c r="D3" s="210"/>
      <c r="E3" s="209"/>
      <c r="F3" s="209"/>
      <c r="G3" s="209"/>
      <c r="H3" s="211"/>
      <c r="I3" s="28"/>
    </row>
    <row r="4" spans="1:9" ht="15.95" customHeight="1" thickBot="1" x14ac:dyDescent="0.25">
      <c r="A4" s="199" t="s">
        <v>122</v>
      </c>
      <c r="B4" s="200"/>
      <c r="C4" s="255" t="s">
        <v>205</v>
      </c>
      <c r="D4" s="256"/>
      <c r="E4" s="201" t="str">
        <f>A4</f>
        <v>Team 2:</v>
      </c>
      <c r="F4" s="200"/>
      <c r="G4" s="202"/>
      <c r="H4" s="200"/>
      <c r="I4" s="8"/>
    </row>
    <row r="5" spans="1:9" ht="15.95" customHeight="1" thickBot="1" x14ac:dyDescent="0.25">
      <c r="A5" s="99" t="s">
        <v>74</v>
      </c>
      <c r="B5" s="18" t="s">
        <v>1</v>
      </c>
      <c r="C5" s="18" t="s">
        <v>3</v>
      </c>
      <c r="D5" s="18" t="s">
        <v>204</v>
      </c>
      <c r="E5" s="100" t="s">
        <v>74</v>
      </c>
      <c r="F5" s="18" t="s">
        <v>1</v>
      </c>
      <c r="G5" s="18" t="s">
        <v>3</v>
      </c>
      <c r="H5" s="18" t="s">
        <v>204</v>
      </c>
      <c r="I5" s="8"/>
    </row>
    <row r="6" spans="1:9" ht="15" customHeight="1" x14ac:dyDescent="0.2">
      <c r="A6" s="252">
        <v>1</v>
      </c>
      <c r="B6" s="246" t="s">
        <v>5</v>
      </c>
      <c r="C6" s="19" t="s">
        <v>168</v>
      </c>
      <c r="D6" s="38"/>
      <c r="E6" s="252">
        <v>2</v>
      </c>
      <c r="F6" s="246" t="s">
        <v>6</v>
      </c>
      <c r="G6" s="235" t="s">
        <v>172</v>
      </c>
      <c r="H6" s="236"/>
      <c r="I6" s="8"/>
    </row>
    <row r="7" spans="1:9" ht="15" customHeight="1" x14ac:dyDescent="0.2">
      <c r="A7" s="253"/>
      <c r="B7" s="247"/>
      <c r="C7" s="121" t="s">
        <v>169</v>
      </c>
      <c r="D7" s="122"/>
      <c r="E7" s="253"/>
      <c r="F7" s="247"/>
      <c r="G7" s="237" t="s">
        <v>173</v>
      </c>
      <c r="H7" s="238"/>
      <c r="I7" s="8"/>
    </row>
    <row r="8" spans="1:9" ht="15" customHeight="1" x14ac:dyDescent="0.2">
      <c r="A8" s="253"/>
      <c r="B8" s="247"/>
      <c r="C8" s="20" t="s">
        <v>170</v>
      </c>
      <c r="D8" s="39"/>
      <c r="E8" s="253"/>
      <c r="F8" s="247"/>
      <c r="G8" s="239" t="s">
        <v>174</v>
      </c>
      <c r="H8" s="240"/>
      <c r="I8" s="8"/>
    </row>
    <row r="9" spans="1:9" ht="15.95" customHeight="1" x14ac:dyDescent="0.2">
      <c r="A9" s="254"/>
      <c r="B9" s="248"/>
      <c r="C9" s="123" t="s">
        <v>171</v>
      </c>
      <c r="D9" s="124"/>
      <c r="E9" s="254"/>
      <c r="F9" s="248"/>
      <c r="G9" s="241" t="s">
        <v>175</v>
      </c>
      <c r="H9" s="242"/>
      <c r="I9" s="8"/>
    </row>
    <row r="10" spans="1:9" ht="15" customHeight="1" x14ac:dyDescent="0.2">
      <c r="A10" s="252">
        <v>3</v>
      </c>
      <c r="B10" s="246" t="s">
        <v>7</v>
      </c>
      <c r="C10" s="38" t="s">
        <v>176</v>
      </c>
      <c r="D10" s="38"/>
      <c r="E10" s="252">
        <v>4</v>
      </c>
      <c r="F10" s="246" t="s">
        <v>8</v>
      </c>
      <c r="G10" s="236" t="s">
        <v>180</v>
      </c>
      <c r="H10" s="236"/>
      <c r="I10" s="8"/>
    </row>
    <row r="11" spans="1:9" ht="15" customHeight="1" x14ac:dyDescent="0.2">
      <c r="A11" s="253"/>
      <c r="B11" s="247"/>
      <c r="C11" s="125" t="s">
        <v>177</v>
      </c>
      <c r="D11" s="125"/>
      <c r="E11" s="253"/>
      <c r="F11" s="247"/>
      <c r="G11" s="243" t="s">
        <v>181</v>
      </c>
      <c r="H11" s="243"/>
      <c r="I11" s="8"/>
    </row>
    <row r="12" spans="1:9" ht="15" customHeight="1" x14ac:dyDescent="0.2">
      <c r="A12" s="253"/>
      <c r="B12" s="247"/>
      <c r="C12" s="39" t="s">
        <v>178</v>
      </c>
      <c r="D12" s="39"/>
      <c r="E12" s="253"/>
      <c r="F12" s="247"/>
      <c r="G12" s="240" t="s">
        <v>182</v>
      </c>
      <c r="H12" s="240"/>
      <c r="I12" s="8"/>
    </row>
    <row r="13" spans="1:9" ht="15.95" customHeight="1" x14ac:dyDescent="0.2">
      <c r="A13" s="254"/>
      <c r="B13" s="248"/>
      <c r="C13" s="126" t="s">
        <v>179</v>
      </c>
      <c r="D13" s="126"/>
      <c r="E13" s="254"/>
      <c r="F13" s="248"/>
      <c r="G13" s="244" t="s">
        <v>183</v>
      </c>
      <c r="H13" s="244"/>
      <c r="I13" s="8"/>
    </row>
    <row r="14" spans="1:9" ht="15" customHeight="1" x14ac:dyDescent="0.2">
      <c r="A14" s="21">
        <v>5</v>
      </c>
      <c r="B14" s="96" t="s">
        <v>42</v>
      </c>
      <c r="C14" s="19" t="s">
        <v>168</v>
      </c>
      <c r="D14" s="19" t="s">
        <v>171</v>
      </c>
      <c r="E14" s="21">
        <v>6</v>
      </c>
      <c r="F14" s="96" t="s">
        <v>58</v>
      </c>
      <c r="G14" s="235" t="s">
        <v>184</v>
      </c>
      <c r="H14" s="235" t="s">
        <v>169</v>
      </c>
      <c r="I14" s="8"/>
    </row>
    <row r="15" spans="1:9" ht="15" customHeight="1" x14ac:dyDescent="0.2">
      <c r="A15" s="22">
        <v>7</v>
      </c>
      <c r="B15" s="97" t="s">
        <v>43</v>
      </c>
      <c r="C15" s="20" t="s">
        <v>185</v>
      </c>
      <c r="D15" s="20" t="s">
        <v>173</v>
      </c>
      <c r="E15" s="22">
        <v>8</v>
      </c>
      <c r="F15" s="97" t="s">
        <v>59</v>
      </c>
      <c r="G15" s="239" t="s">
        <v>172</v>
      </c>
      <c r="H15" s="239" t="s">
        <v>186</v>
      </c>
      <c r="I15" s="8"/>
    </row>
    <row r="16" spans="1:9" ht="15" customHeight="1" x14ac:dyDescent="0.2">
      <c r="A16" s="22">
        <v>9</v>
      </c>
      <c r="B16" s="97" t="s">
        <v>44</v>
      </c>
      <c r="C16" s="20" t="s">
        <v>176</v>
      </c>
      <c r="D16" s="20" t="s">
        <v>179</v>
      </c>
      <c r="E16" s="22">
        <v>10</v>
      </c>
      <c r="F16" s="97" t="s">
        <v>60</v>
      </c>
      <c r="G16" s="239" t="s">
        <v>187</v>
      </c>
      <c r="H16" s="239" t="s">
        <v>177</v>
      </c>
      <c r="I16" s="8"/>
    </row>
    <row r="17" spans="1:9" ht="15.95" customHeight="1" x14ac:dyDescent="0.2">
      <c r="A17" s="23">
        <v>11</v>
      </c>
      <c r="B17" s="98" t="s">
        <v>45</v>
      </c>
      <c r="C17" s="198" t="s">
        <v>182</v>
      </c>
      <c r="D17" s="198" t="s">
        <v>188</v>
      </c>
      <c r="E17" s="23">
        <v>12</v>
      </c>
      <c r="F17" s="98" t="s">
        <v>61</v>
      </c>
      <c r="G17" s="245" t="s">
        <v>180</v>
      </c>
      <c r="H17" s="245" t="s">
        <v>189</v>
      </c>
      <c r="I17" s="8"/>
    </row>
    <row r="18" spans="1:9" ht="15" customHeight="1" x14ac:dyDescent="0.2">
      <c r="A18" s="21">
        <v>13</v>
      </c>
      <c r="B18" s="96" t="s">
        <v>46</v>
      </c>
      <c r="C18" s="19" t="s">
        <v>171</v>
      </c>
      <c r="D18" s="19" t="s">
        <v>190</v>
      </c>
      <c r="E18" s="21">
        <v>14</v>
      </c>
      <c r="F18" s="96" t="s">
        <v>62</v>
      </c>
      <c r="G18" s="235" t="s">
        <v>184</v>
      </c>
      <c r="H18" s="235" t="s">
        <v>169</v>
      </c>
      <c r="I18" s="8"/>
    </row>
    <row r="19" spans="1:9" ht="15" customHeight="1" x14ac:dyDescent="0.2">
      <c r="A19" s="22">
        <v>15</v>
      </c>
      <c r="B19" s="97" t="s">
        <v>47</v>
      </c>
      <c r="C19" s="20" t="s">
        <v>173</v>
      </c>
      <c r="D19" s="20" t="s">
        <v>174</v>
      </c>
      <c r="E19" s="22">
        <v>16</v>
      </c>
      <c r="F19" s="97" t="s">
        <v>63</v>
      </c>
      <c r="G19" s="239" t="s">
        <v>186</v>
      </c>
      <c r="H19" s="239" t="s">
        <v>191</v>
      </c>
      <c r="I19" s="8"/>
    </row>
    <row r="20" spans="1:9" ht="15" customHeight="1" x14ac:dyDescent="0.2">
      <c r="A20" s="22">
        <v>17</v>
      </c>
      <c r="B20" s="97" t="s">
        <v>48</v>
      </c>
      <c r="C20" s="20" t="s">
        <v>192</v>
      </c>
      <c r="D20" s="20" t="s">
        <v>193</v>
      </c>
      <c r="E20" s="22">
        <v>18</v>
      </c>
      <c r="F20" s="97" t="s">
        <v>64</v>
      </c>
      <c r="G20" s="239" t="s">
        <v>187</v>
      </c>
      <c r="H20" s="239" t="s">
        <v>177</v>
      </c>
      <c r="I20" s="8"/>
    </row>
    <row r="21" spans="1:9" ht="15.95" customHeight="1" x14ac:dyDescent="0.2">
      <c r="A21" s="23">
        <v>19</v>
      </c>
      <c r="B21" s="98" t="s">
        <v>49</v>
      </c>
      <c r="C21" s="198" t="s">
        <v>194</v>
      </c>
      <c r="D21" s="198" t="s">
        <v>195</v>
      </c>
      <c r="E21" s="23">
        <v>20</v>
      </c>
      <c r="F21" s="98" t="s">
        <v>65</v>
      </c>
      <c r="G21" s="245" t="s">
        <v>181</v>
      </c>
      <c r="H21" s="245" t="s">
        <v>180</v>
      </c>
      <c r="I21" s="8"/>
    </row>
    <row r="22" spans="1:9" ht="15" customHeight="1" x14ac:dyDescent="0.2">
      <c r="A22" s="21">
        <v>21</v>
      </c>
      <c r="B22" s="96" t="s">
        <v>50</v>
      </c>
      <c r="C22" s="19" t="s">
        <v>196</v>
      </c>
      <c r="D22" s="19" t="s">
        <v>171</v>
      </c>
      <c r="E22" s="21">
        <v>22</v>
      </c>
      <c r="F22" s="96" t="s">
        <v>66</v>
      </c>
      <c r="G22" s="235" t="s">
        <v>184</v>
      </c>
      <c r="H22" s="235" t="s">
        <v>169</v>
      </c>
      <c r="I22" s="8"/>
    </row>
    <row r="23" spans="1:9" ht="15" customHeight="1" x14ac:dyDescent="0.2">
      <c r="A23" s="22">
        <v>23</v>
      </c>
      <c r="B23" s="97" t="s">
        <v>51</v>
      </c>
      <c r="C23" s="20" t="s">
        <v>173</v>
      </c>
      <c r="D23" s="20" t="s">
        <v>174</v>
      </c>
      <c r="E23" s="22">
        <v>24</v>
      </c>
      <c r="F23" s="97" t="s">
        <v>67</v>
      </c>
      <c r="G23" s="239" t="s">
        <v>172</v>
      </c>
      <c r="H23" s="239" t="s">
        <v>197</v>
      </c>
      <c r="I23" s="8"/>
    </row>
    <row r="24" spans="1:9" ht="15" customHeight="1" x14ac:dyDescent="0.2">
      <c r="A24" s="22">
        <v>25</v>
      </c>
      <c r="B24" s="97" t="s">
        <v>52</v>
      </c>
      <c r="C24" s="20" t="s">
        <v>179</v>
      </c>
      <c r="D24" s="20" t="s">
        <v>198</v>
      </c>
      <c r="E24" s="22">
        <v>26</v>
      </c>
      <c r="F24" s="97" t="s">
        <v>68</v>
      </c>
      <c r="G24" s="239" t="s">
        <v>187</v>
      </c>
      <c r="H24" s="239" t="s">
        <v>177</v>
      </c>
      <c r="I24" s="8"/>
    </row>
    <row r="25" spans="1:9" ht="15.95" customHeight="1" x14ac:dyDescent="0.2">
      <c r="A25" s="23">
        <v>27</v>
      </c>
      <c r="B25" s="98" t="s">
        <v>53</v>
      </c>
      <c r="C25" s="198" t="s">
        <v>182</v>
      </c>
      <c r="D25" s="198" t="s">
        <v>199</v>
      </c>
      <c r="E25" s="23">
        <v>28</v>
      </c>
      <c r="F25" s="98" t="s">
        <v>69</v>
      </c>
      <c r="G25" s="245" t="s">
        <v>180</v>
      </c>
      <c r="H25" s="245" t="s">
        <v>200</v>
      </c>
      <c r="I25" s="8"/>
    </row>
    <row r="26" spans="1:9" ht="15" customHeight="1" x14ac:dyDescent="0.2">
      <c r="A26" s="21">
        <v>29</v>
      </c>
      <c r="B26" s="96" t="s">
        <v>54</v>
      </c>
      <c r="C26" s="19" t="s">
        <v>171</v>
      </c>
      <c r="D26" s="19" t="s">
        <v>201</v>
      </c>
      <c r="E26" s="21">
        <v>30</v>
      </c>
      <c r="F26" s="96" t="s">
        <v>70</v>
      </c>
      <c r="G26" s="235" t="s">
        <v>184</v>
      </c>
      <c r="H26" s="235" t="s">
        <v>169</v>
      </c>
      <c r="I26" s="8"/>
    </row>
    <row r="27" spans="1:9" ht="15" customHeight="1" x14ac:dyDescent="0.2">
      <c r="A27" s="22">
        <v>31</v>
      </c>
      <c r="B27" s="97" t="s">
        <v>55</v>
      </c>
      <c r="C27" s="20" t="s">
        <v>173</v>
      </c>
      <c r="D27" s="20" t="s">
        <v>202</v>
      </c>
      <c r="E27" s="22">
        <v>32</v>
      </c>
      <c r="F27" s="97" t="s">
        <v>71</v>
      </c>
      <c r="G27" s="239" t="s">
        <v>172</v>
      </c>
      <c r="H27" s="239" t="s">
        <v>197</v>
      </c>
      <c r="I27" s="8"/>
    </row>
    <row r="28" spans="1:9" ht="15" customHeight="1" x14ac:dyDescent="0.2">
      <c r="A28" s="22">
        <v>33</v>
      </c>
      <c r="B28" s="97" t="s">
        <v>56</v>
      </c>
      <c r="C28" s="20" t="s">
        <v>176</v>
      </c>
      <c r="D28" s="20" t="s">
        <v>179</v>
      </c>
      <c r="E28" s="22">
        <v>34</v>
      </c>
      <c r="F28" s="97" t="s">
        <v>72</v>
      </c>
      <c r="G28" s="239" t="s">
        <v>187</v>
      </c>
      <c r="H28" s="239" t="s">
        <v>177</v>
      </c>
      <c r="I28" s="8"/>
    </row>
    <row r="29" spans="1:9" ht="15.95" customHeight="1" x14ac:dyDescent="0.2">
      <c r="A29" s="23">
        <v>35</v>
      </c>
      <c r="B29" s="98" t="s">
        <v>57</v>
      </c>
      <c r="C29" s="198" t="s">
        <v>182</v>
      </c>
      <c r="D29" s="198" t="s">
        <v>183</v>
      </c>
      <c r="E29" s="23">
        <v>36</v>
      </c>
      <c r="F29" s="98" t="s">
        <v>73</v>
      </c>
      <c r="G29" s="245" t="s">
        <v>180</v>
      </c>
      <c r="H29" s="245" t="s">
        <v>200</v>
      </c>
      <c r="I29" s="8"/>
    </row>
    <row r="30" spans="1:9" ht="15" customHeight="1" x14ac:dyDescent="0.2">
      <c r="A30" s="252">
        <v>37</v>
      </c>
      <c r="B30" s="246" t="s">
        <v>9</v>
      </c>
      <c r="C30" s="19" t="s">
        <v>169</v>
      </c>
      <c r="D30" s="38"/>
      <c r="E30" s="252">
        <v>38</v>
      </c>
      <c r="F30" s="246" t="s">
        <v>10</v>
      </c>
      <c r="G30" s="235" t="s">
        <v>175</v>
      </c>
      <c r="H30" s="236"/>
      <c r="I30" s="8"/>
    </row>
    <row r="31" spans="1:9" ht="15" customHeight="1" x14ac:dyDescent="0.2">
      <c r="A31" s="253"/>
      <c r="B31" s="247"/>
      <c r="C31" s="121" t="s">
        <v>201</v>
      </c>
      <c r="D31" s="122"/>
      <c r="E31" s="253"/>
      <c r="F31" s="247"/>
      <c r="G31" s="237" t="s">
        <v>202</v>
      </c>
      <c r="H31" s="238"/>
      <c r="I31" s="8"/>
    </row>
    <row r="32" spans="1:9" ht="15" customHeight="1" x14ac:dyDescent="0.2">
      <c r="A32" s="253"/>
      <c r="B32" s="247"/>
      <c r="C32" s="20" t="s">
        <v>203</v>
      </c>
      <c r="D32" s="39"/>
      <c r="E32" s="253"/>
      <c r="F32" s="247"/>
      <c r="G32" s="239" t="s">
        <v>173</v>
      </c>
      <c r="H32" s="240"/>
      <c r="I32" s="8"/>
    </row>
    <row r="33" spans="1:9" ht="15.95" customHeight="1" x14ac:dyDescent="0.2">
      <c r="A33" s="254"/>
      <c r="B33" s="248"/>
      <c r="C33" s="123" t="s">
        <v>170</v>
      </c>
      <c r="D33" s="124"/>
      <c r="E33" s="254"/>
      <c r="F33" s="248"/>
      <c r="G33" s="241" t="s">
        <v>172</v>
      </c>
      <c r="H33" s="242"/>
      <c r="I33" s="8"/>
    </row>
    <row r="34" spans="1:9" ht="15" customHeight="1" x14ac:dyDescent="0.2">
      <c r="A34" s="252">
        <v>39</v>
      </c>
      <c r="B34" s="246" t="s">
        <v>11</v>
      </c>
      <c r="C34" s="38" t="s">
        <v>177</v>
      </c>
      <c r="D34" s="38"/>
      <c r="E34" s="252">
        <v>40</v>
      </c>
      <c r="F34" s="246" t="s">
        <v>12</v>
      </c>
      <c r="G34" s="236" t="s">
        <v>181</v>
      </c>
      <c r="H34" s="236"/>
      <c r="I34" s="8"/>
    </row>
    <row r="35" spans="1:9" ht="15" customHeight="1" x14ac:dyDescent="0.2">
      <c r="A35" s="253"/>
      <c r="B35" s="247"/>
      <c r="C35" s="125" t="s">
        <v>179</v>
      </c>
      <c r="D35" s="125"/>
      <c r="E35" s="253"/>
      <c r="F35" s="247"/>
      <c r="G35" s="243" t="s">
        <v>183</v>
      </c>
      <c r="H35" s="243"/>
      <c r="I35" s="8"/>
    </row>
    <row r="36" spans="1:9" ht="15" customHeight="1" x14ac:dyDescent="0.2">
      <c r="A36" s="253"/>
      <c r="B36" s="247"/>
      <c r="C36" s="120" t="s">
        <v>176</v>
      </c>
      <c r="D36" s="120"/>
      <c r="E36" s="253"/>
      <c r="F36" s="247"/>
      <c r="G36" s="240" t="s">
        <v>182</v>
      </c>
      <c r="H36" s="240"/>
      <c r="I36" s="8"/>
    </row>
    <row r="37" spans="1:9" ht="15.95" customHeight="1" x14ac:dyDescent="0.2">
      <c r="A37" s="254"/>
      <c r="B37" s="248"/>
      <c r="C37" s="126" t="s">
        <v>178</v>
      </c>
      <c r="D37" s="126"/>
      <c r="E37" s="254"/>
      <c r="F37" s="248"/>
      <c r="G37" s="244" t="s">
        <v>180</v>
      </c>
      <c r="H37" s="244"/>
      <c r="I37" s="8"/>
    </row>
    <row r="38" spans="1:9" ht="12" customHeight="1" x14ac:dyDescent="0.2">
      <c r="A38" s="25"/>
      <c r="B38" s="26"/>
      <c r="C38" s="26"/>
      <c r="D38" s="26"/>
      <c r="E38" s="26"/>
      <c r="F38" s="26"/>
      <c r="G38" s="26"/>
      <c r="H38" s="26"/>
      <c r="I38" s="28"/>
    </row>
    <row r="39" spans="1:9" ht="12" customHeight="1" x14ac:dyDescent="0.2">
      <c r="A39" s="29"/>
      <c r="B39" s="28"/>
      <c r="C39" s="28"/>
      <c r="D39" s="28"/>
      <c r="E39" s="28"/>
      <c r="F39" s="28"/>
      <c r="G39" s="28"/>
      <c r="H39" s="28"/>
      <c r="I39" s="28"/>
    </row>
    <row r="40" spans="1:9" ht="12" customHeight="1" x14ac:dyDescent="0.2">
      <c r="A40" s="29"/>
      <c r="B40" s="28"/>
      <c r="C40" s="28"/>
      <c r="D40" s="28"/>
      <c r="E40" s="28"/>
      <c r="F40" s="28"/>
      <c r="G40" s="28"/>
      <c r="H40" s="28"/>
      <c r="I40" s="28"/>
    </row>
    <row r="41" spans="1:9" ht="12" customHeight="1" x14ac:dyDescent="0.2">
      <c r="A41" s="29"/>
      <c r="B41" s="28"/>
      <c r="C41" s="28"/>
      <c r="D41" s="28"/>
      <c r="E41" s="28"/>
      <c r="F41" s="28"/>
      <c r="G41" s="28"/>
      <c r="H41" s="28"/>
      <c r="I41" s="28"/>
    </row>
    <row r="42" spans="1:9" ht="12" customHeight="1" x14ac:dyDescent="0.2">
      <c r="A42" s="29"/>
      <c r="B42" s="28"/>
      <c r="C42" s="31"/>
      <c r="D42" s="30"/>
      <c r="E42" s="28"/>
      <c r="F42" s="28"/>
      <c r="G42" s="28"/>
      <c r="H42" s="28"/>
      <c r="I42" s="28"/>
    </row>
    <row r="43" spans="1:9" ht="12" customHeight="1" x14ac:dyDescent="0.2">
      <c r="A43" s="29"/>
      <c r="B43" s="28"/>
      <c r="C43" s="31"/>
      <c r="D43" s="30"/>
      <c r="E43" s="28"/>
      <c r="F43" s="28"/>
      <c r="G43" s="28"/>
      <c r="H43" s="28"/>
      <c r="I43" s="28"/>
    </row>
    <row r="44" spans="1:9" ht="12" customHeight="1" x14ac:dyDescent="0.2">
      <c r="A44" s="29"/>
      <c r="B44" s="28"/>
      <c r="C44" s="31"/>
      <c r="D44" s="30"/>
      <c r="E44" s="28"/>
      <c r="F44" s="28"/>
      <c r="G44" s="28"/>
      <c r="H44" s="28"/>
      <c r="I44" s="28"/>
    </row>
    <row r="45" spans="1:9" ht="12" customHeight="1" x14ac:dyDescent="0.2">
      <c r="A45" s="32"/>
      <c r="B45" s="33"/>
      <c r="C45" s="34"/>
      <c r="D45" s="35"/>
      <c r="E45" s="33"/>
      <c r="F45" s="33"/>
      <c r="G45" s="33"/>
      <c r="H45" s="33"/>
      <c r="I45" s="33"/>
    </row>
  </sheetData>
  <mergeCells count="18">
    <mergeCell ref="C4:D4"/>
    <mergeCell ref="A2:H2"/>
    <mergeCell ref="E34:E37"/>
    <mergeCell ref="A34:A37"/>
    <mergeCell ref="E30:E33"/>
    <mergeCell ref="A30:A33"/>
    <mergeCell ref="E10:E13"/>
    <mergeCell ref="A10:A13"/>
    <mergeCell ref="E6:E9"/>
    <mergeCell ref="A6:A9"/>
    <mergeCell ref="F30:F33"/>
    <mergeCell ref="F34:F37"/>
    <mergeCell ref="F10:F13"/>
    <mergeCell ref="F6:F9"/>
    <mergeCell ref="B30:B33"/>
    <mergeCell ref="B34:B37"/>
    <mergeCell ref="B6:B9"/>
    <mergeCell ref="B10:B13"/>
  </mergeCells>
  <conditionalFormatting sqref="C4 G4">
    <cfRule type="cellIs" dxfId="4" priority="1" stopIfTrue="1" operator="equal">
      <formula>"Lurgan"</formula>
    </cfRule>
  </conditionalFormatting>
  <pageMargins left="0" right="0" top="0" bottom="0" header="0" footer="0"/>
  <pageSetup paperSize="9" scale="9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00"/>
    <pageSetUpPr fitToPage="1"/>
  </sheetPr>
  <dimension ref="A1:IR45"/>
  <sheetViews>
    <sheetView showGridLines="0" topLeftCell="A10" zoomScaleNormal="100" zoomScaleSheetLayoutView="90" workbookViewId="0">
      <selection activeCell="A14" sqref="A14"/>
    </sheetView>
  </sheetViews>
  <sheetFormatPr defaultColWidth="6.59765625" defaultRowHeight="12" customHeight="1" x14ac:dyDescent="0.2"/>
  <cols>
    <col min="1" max="1" width="4" style="90" customWidth="1"/>
    <col min="2" max="2" width="14.296875" style="90" bestFit="1" customWidth="1"/>
    <col min="3" max="4" width="15.5" style="90" customWidth="1"/>
    <col min="5" max="5" width="3.8984375" style="90" customWidth="1"/>
    <col min="6" max="6" width="15.09765625" style="90" bestFit="1" customWidth="1"/>
    <col min="7" max="8" width="15.5" style="90" customWidth="1"/>
    <col min="9" max="9" width="11.3984375" style="90" customWidth="1"/>
    <col min="10" max="252" width="6.59765625" style="90" customWidth="1"/>
  </cols>
  <sheetData>
    <row r="1" spans="1:9" ht="12" customHeight="1" x14ac:dyDescent="0.2">
      <c r="A1" s="203"/>
      <c r="B1" s="204"/>
      <c r="C1" s="204"/>
      <c r="D1" s="205"/>
      <c r="E1" s="204"/>
      <c r="F1" s="204"/>
      <c r="G1" s="204"/>
      <c r="H1" s="206"/>
      <c r="I1" s="42"/>
    </row>
    <row r="2" spans="1:9" ht="15.75" x14ac:dyDescent="0.25">
      <c r="A2" s="249" t="s">
        <v>0</v>
      </c>
      <c r="B2" s="257"/>
      <c r="C2" s="257"/>
      <c r="D2" s="257"/>
      <c r="E2" s="257"/>
      <c r="F2" s="257"/>
      <c r="G2" s="257"/>
      <c r="H2" s="258"/>
      <c r="I2" s="42"/>
    </row>
    <row r="3" spans="1:9" ht="15" customHeight="1" thickBot="1" x14ac:dyDescent="0.25">
      <c r="A3" s="207"/>
      <c r="B3" s="208"/>
      <c r="C3" s="209"/>
      <c r="D3" s="210"/>
      <c r="E3" s="209"/>
      <c r="F3" s="209"/>
      <c r="G3" s="209"/>
      <c r="H3" s="211"/>
      <c r="I3" s="28"/>
    </row>
    <row r="4" spans="1:9" ht="15.95" customHeight="1" thickBot="1" x14ac:dyDescent="0.25">
      <c r="A4" s="199" t="s">
        <v>122</v>
      </c>
      <c r="B4" s="200"/>
      <c r="C4" s="255" t="s">
        <v>207</v>
      </c>
      <c r="D4" s="256"/>
      <c r="E4" s="201" t="str">
        <f>A4</f>
        <v>Team 2:</v>
      </c>
      <c r="F4" s="200"/>
      <c r="G4" s="202"/>
      <c r="H4" s="200"/>
      <c r="I4" s="8"/>
    </row>
    <row r="5" spans="1:9" ht="15.95" customHeight="1" thickBot="1" x14ac:dyDescent="0.25">
      <c r="A5" s="99" t="s">
        <v>74</v>
      </c>
      <c r="B5" s="18" t="s">
        <v>1</v>
      </c>
      <c r="C5" s="18" t="s">
        <v>13</v>
      </c>
      <c r="D5" s="18" t="s">
        <v>4</v>
      </c>
      <c r="E5" s="100" t="s">
        <v>74</v>
      </c>
      <c r="F5" s="18" t="s">
        <v>1</v>
      </c>
      <c r="G5" s="18" t="s">
        <v>13</v>
      </c>
      <c r="H5" s="18" t="s">
        <v>4</v>
      </c>
      <c r="I5" s="8"/>
    </row>
    <row r="6" spans="1:9" ht="15" customHeight="1" x14ac:dyDescent="0.2">
      <c r="A6" s="252">
        <v>1</v>
      </c>
      <c r="B6" s="246" t="s">
        <v>5</v>
      </c>
      <c r="C6" s="19" t="s">
        <v>243</v>
      </c>
      <c r="D6" s="38" t="s">
        <v>247</v>
      </c>
      <c r="E6" s="252">
        <v>2</v>
      </c>
      <c r="F6" s="246" t="s">
        <v>6</v>
      </c>
      <c r="G6" s="19" t="s">
        <v>251</v>
      </c>
      <c r="H6" s="38" t="s">
        <v>254</v>
      </c>
      <c r="I6" s="8"/>
    </row>
    <row r="7" spans="1:9" ht="15" customHeight="1" x14ac:dyDescent="0.2">
      <c r="A7" s="253"/>
      <c r="B7" s="247"/>
      <c r="C7" s="121" t="s">
        <v>244</v>
      </c>
      <c r="D7" s="122" t="s">
        <v>248</v>
      </c>
      <c r="E7" s="253"/>
      <c r="F7" s="247"/>
      <c r="G7" s="121" t="s">
        <v>252</v>
      </c>
      <c r="H7" s="122" t="s">
        <v>255</v>
      </c>
      <c r="I7" s="8"/>
    </row>
    <row r="8" spans="1:9" ht="15" customHeight="1" x14ac:dyDescent="0.2">
      <c r="A8" s="253"/>
      <c r="B8" s="247"/>
      <c r="C8" s="20" t="s">
        <v>245</v>
      </c>
      <c r="D8" s="39" t="s">
        <v>249</v>
      </c>
      <c r="E8" s="253"/>
      <c r="F8" s="247"/>
      <c r="G8" s="20" t="s">
        <v>277</v>
      </c>
      <c r="H8" s="39" t="s">
        <v>256</v>
      </c>
      <c r="I8" s="8"/>
    </row>
    <row r="9" spans="1:9" ht="15.95" customHeight="1" thickBot="1" x14ac:dyDescent="0.25">
      <c r="A9" s="254"/>
      <c r="B9" s="248"/>
      <c r="C9" s="123" t="s">
        <v>246</v>
      </c>
      <c r="D9" s="124" t="s">
        <v>250</v>
      </c>
      <c r="E9" s="254"/>
      <c r="F9" s="248"/>
      <c r="G9" s="123" t="s">
        <v>253</v>
      </c>
      <c r="H9" s="124" t="s">
        <v>257</v>
      </c>
      <c r="I9" s="8"/>
    </row>
    <row r="10" spans="1:9" ht="15" customHeight="1" x14ac:dyDescent="0.2">
      <c r="A10" s="252">
        <v>3</v>
      </c>
      <c r="B10" s="246" t="s">
        <v>7</v>
      </c>
      <c r="C10" s="38" t="s">
        <v>258</v>
      </c>
      <c r="D10" s="38" t="s">
        <v>270</v>
      </c>
      <c r="E10" s="252">
        <v>4</v>
      </c>
      <c r="F10" s="246" t="s">
        <v>8</v>
      </c>
      <c r="G10" s="38" t="s">
        <v>267</v>
      </c>
      <c r="H10" s="38" t="s">
        <v>272</v>
      </c>
      <c r="I10" s="8"/>
    </row>
    <row r="11" spans="1:9" ht="15" customHeight="1" x14ac:dyDescent="0.2">
      <c r="A11" s="253"/>
      <c r="B11" s="247"/>
      <c r="C11" s="125" t="s">
        <v>259</v>
      </c>
      <c r="D11" s="125" t="s">
        <v>263</v>
      </c>
      <c r="E11" s="253"/>
      <c r="F11" s="247"/>
      <c r="G11" s="125" t="s">
        <v>266</v>
      </c>
      <c r="H11" s="125" t="s">
        <v>273</v>
      </c>
      <c r="I11" s="8"/>
    </row>
    <row r="12" spans="1:9" ht="15" customHeight="1" x14ac:dyDescent="0.2">
      <c r="A12" s="253"/>
      <c r="B12" s="247"/>
      <c r="C12" s="39" t="s">
        <v>260</v>
      </c>
      <c r="D12" s="39" t="s">
        <v>271</v>
      </c>
      <c r="E12" s="253"/>
      <c r="F12" s="247"/>
      <c r="G12" s="39" t="s">
        <v>268</v>
      </c>
      <c r="H12" s="39" t="s">
        <v>274</v>
      </c>
      <c r="I12" s="8"/>
    </row>
    <row r="13" spans="1:9" ht="15.95" customHeight="1" thickBot="1" x14ac:dyDescent="0.25">
      <c r="A13" s="254"/>
      <c r="B13" s="248"/>
      <c r="C13" s="126" t="s">
        <v>261</v>
      </c>
      <c r="D13" s="126" t="s">
        <v>262</v>
      </c>
      <c r="E13" s="254"/>
      <c r="F13" s="248"/>
      <c r="G13" s="126" t="s">
        <v>269</v>
      </c>
      <c r="H13" s="126" t="s">
        <v>275</v>
      </c>
      <c r="I13" s="8"/>
    </row>
    <row r="14" spans="1:9" ht="15" customHeight="1" x14ac:dyDescent="0.2">
      <c r="A14" s="21">
        <v>5</v>
      </c>
      <c r="B14" s="96" t="s">
        <v>42</v>
      </c>
      <c r="C14" s="19" t="s">
        <v>245</v>
      </c>
      <c r="D14" s="19" t="s">
        <v>249</v>
      </c>
      <c r="E14" s="21">
        <v>6</v>
      </c>
      <c r="F14" s="96" t="s">
        <v>58</v>
      </c>
      <c r="G14" s="19" t="s">
        <v>243</v>
      </c>
      <c r="H14" s="19" t="s">
        <v>244</v>
      </c>
      <c r="I14" s="19"/>
    </row>
    <row r="15" spans="1:9" ht="15" customHeight="1" x14ac:dyDescent="0.2">
      <c r="A15" s="22">
        <v>7</v>
      </c>
      <c r="B15" s="97" t="s">
        <v>43</v>
      </c>
      <c r="C15" s="20" t="s">
        <v>252</v>
      </c>
      <c r="D15" s="20" t="s">
        <v>256</v>
      </c>
      <c r="E15" s="22">
        <v>8</v>
      </c>
      <c r="F15" s="97" t="s">
        <v>59</v>
      </c>
      <c r="G15" s="20" t="s">
        <v>277</v>
      </c>
      <c r="H15" s="20" t="s">
        <v>253</v>
      </c>
      <c r="I15" s="20"/>
    </row>
    <row r="16" spans="1:9" ht="15" customHeight="1" x14ac:dyDescent="0.2">
      <c r="A16" s="22">
        <v>9</v>
      </c>
      <c r="B16" s="97" t="s">
        <v>44</v>
      </c>
      <c r="C16" s="20" t="s">
        <v>260</v>
      </c>
      <c r="D16" s="20" t="s">
        <v>258</v>
      </c>
      <c r="E16" s="22">
        <v>10</v>
      </c>
      <c r="F16" s="97" t="s">
        <v>60</v>
      </c>
      <c r="G16" s="20" t="s">
        <v>261</v>
      </c>
      <c r="H16" s="20" t="s">
        <v>265</v>
      </c>
      <c r="I16" s="20"/>
    </row>
    <row r="17" spans="1:9" ht="15.95" customHeight="1" thickBot="1" x14ac:dyDescent="0.25">
      <c r="A17" s="23">
        <v>11</v>
      </c>
      <c r="B17" s="98" t="s">
        <v>45</v>
      </c>
      <c r="C17" s="198" t="s">
        <v>274</v>
      </c>
      <c r="D17" s="198" t="s">
        <v>267</v>
      </c>
      <c r="E17" s="23">
        <v>12</v>
      </c>
      <c r="F17" s="98" t="s">
        <v>61</v>
      </c>
      <c r="G17" s="198" t="s">
        <v>269</v>
      </c>
      <c r="H17" s="198" t="s">
        <v>272</v>
      </c>
      <c r="I17" s="198"/>
    </row>
    <row r="18" spans="1:9" ht="15" customHeight="1" x14ac:dyDescent="0.2">
      <c r="A18" s="21">
        <v>13</v>
      </c>
      <c r="B18" s="96" t="s">
        <v>46</v>
      </c>
      <c r="C18" s="19" t="s">
        <v>245</v>
      </c>
      <c r="D18" s="19" t="s">
        <v>246</v>
      </c>
      <c r="E18" s="21">
        <v>14</v>
      </c>
      <c r="F18" s="96" t="s">
        <v>62</v>
      </c>
      <c r="G18" s="19" t="s">
        <v>244</v>
      </c>
      <c r="H18" s="19" t="s">
        <v>248</v>
      </c>
      <c r="I18" s="19"/>
    </row>
    <row r="19" spans="1:9" ht="15" customHeight="1" x14ac:dyDescent="0.2">
      <c r="A19" s="22">
        <v>15</v>
      </c>
      <c r="B19" s="97" t="s">
        <v>47</v>
      </c>
      <c r="C19" s="20" t="s">
        <v>252</v>
      </c>
      <c r="D19" s="20" t="s">
        <v>256</v>
      </c>
      <c r="E19" s="22">
        <v>16</v>
      </c>
      <c r="F19" s="97" t="s">
        <v>63</v>
      </c>
      <c r="G19" s="20" t="s">
        <v>277</v>
      </c>
      <c r="H19" s="20" t="s">
        <v>253</v>
      </c>
      <c r="I19" s="20"/>
    </row>
    <row r="20" spans="1:9" ht="15" customHeight="1" x14ac:dyDescent="0.2">
      <c r="A20" s="22">
        <v>17</v>
      </c>
      <c r="B20" s="97" t="s">
        <v>48</v>
      </c>
      <c r="C20" s="20" t="s">
        <v>264</v>
      </c>
      <c r="D20" s="20" t="s">
        <v>263</v>
      </c>
      <c r="E20" s="22">
        <v>18</v>
      </c>
      <c r="F20" s="97" t="s">
        <v>64</v>
      </c>
      <c r="G20" s="20" t="s">
        <v>261</v>
      </c>
      <c r="H20" s="20" t="s">
        <v>259</v>
      </c>
      <c r="I20" s="20"/>
    </row>
    <row r="21" spans="1:9" ht="15.95" customHeight="1" thickBot="1" x14ac:dyDescent="0.25">
      <c r="A21" s="23">
        <v>19</v>
      </c>
      <c r="B21" s="98" t="s">
        <v>49</v>
      </c>
      <c r="C21" s="198" t="s">
        <v>273</v>
      </c>
      <c r="D21" s="198" t="s">
        <v>278</v>
      </c>
      <c r="E21" s="23">
        <v>20</v>
      </c>
      <c r="F21" s="98" t="s">
        <v>65</v>
      </c>
      <c r="G21" s="198" t="s">
        <v>266</v>
      </c>
      <c r="H21" s="198" t="s">
        <v>279</v>
      </c>
      <c r="I21" s="198"/>
    </row>
    <row r="22" spans="1:9" ht="15" customHeight="1" x14ac:dyDescent="0.2">
      <c r="A22" s="21">
        <v>21</v>
      </c>
      <c r="B22" s="96" t="s">
        <v>50</v>
      </c>
      <c r="C22" s="19" t="s">
        <v>245</v>
      </c>
      <c r="D22" s="19" t="s">
        <v>246</v>
      </c>
      <c r="E22" s="21">
        <v>22</v>
      </c>
      <c r="F22" s="96" t="s">
        <v>66</v>
      </c>
      <c r="G22" s="19" t="s">
        <v>243</v>
      </c>
      <c r="H22" s="19" t="s">
        <v>244</v>
      </c>
      <c r="I22" s="19"/>
    </row>
    <row r="23" spans="1:9" ht="15" customHeight="1" x14ac:dyDescent="0.2">
      <c r="A23" s="22">
        <v>23</v>
      </c>
      <c r="B23" s="97" t="s">
        <v>51</v>
      </c>
      <c r="C23" s="20" t="s">
        <v>252</v>
      </c>
      <c r="D23" s="20" t="s">
        <v>251</v>
      </c>
      <c r="E23" s="22">
        <v>24</v>
      </c>
      <c r="F23" s="97" t="s">
        <v>67</v>
      </c>
      <c r="G23" s="20" t="s">
        <v>277</v>
      </c>
      <c r="H23" s="20" t="s">
        <v>253</v>
      </c>
      <c r="I23" s="20"/>
    </row>
    <row r="24" spans="1:9" ht="15" customHeight="1" x14ac:dyDescent="0.2">
      <c r="A24" s="22">
        <v>25</v>
      </c>
      <c r="B24" s="97" t="s">
        <v>52</v>
      </c>
      <c r="C24" s="20" t="s">
        <v>260</v>
      </c>
      <c r="D24" s="20" t="s">
        <v>264</v>
      </c>
      <c r="E24" s="22">
        <v>26</v>
      </c>
      <c r="F24" s="97" t="s">
        <v>68</v>
      </c>
      <c r="G24" s="20" t="s">
        <v>261</v>
      </c>
      <c r="H24" s="20" t="s">
        <v>265</v>
      </c>
      <c r="I24" s="20"/>
    </row>
    <row r="25" spans="1:9" ht="15.95" customHeight="1" thickBot="1" x14ac:dyDescent="0.25">
      <c r="A25" s="23">
        <v>27</v>
      </c>
      <c r="B25" s="98" t="s">
        <v>53</v>
      </c>
      <c r="C25" s="198" t="s">
        <v>268</v>
      </c>
      <c r="D25" s="198" t="s">
        <v>267</v>
      </c>
      <c r="E25" s="23">
        <v>28</v>
      </c>
      <c r="F25" s="98" t="s">
        <v>69</v>
      </c>
      <c r="G25" s="198" t="s">
        <v>266</v>
      </c>
      <c r="H25" s="198" t="s">
        <v>272</v>
      </c>
      <c r="I25" s="198"/>
    </row>
    <row r="26" spans="1:9" ht="15" customHeight="1" x14ac:dyDescent="0.2">
      <c r="A26" s="21">
        <v>29</v>
      </c>
      <c r="B26" s="96" t="s">
        <v>54</v>
      </c>
      <c r="C26" s="19" t="s">
        <v>245</v>
      </c>
      <c r="D26" s="19" t="s">
        <v>246</v>
      </c>
      <c r="E26" s="21">
        <v>30</v>
      </c>
      <c r="F26" s="96" t="s">
        <v>70</v>
      </c>
      <c r="G26" s="19" t="s">
        <v>243</v>
      </c>
      <c r="H26" s="19" t="s">
        <v>276</v>
      </c>
      <c r="I26" s="19"/>
    </row>
    <row r="27" spans="1:9" ht="15" customHeight="1" x14ac:dyDescent="0.2">
      <c r="A27" s="22">
        <v>31</v>
      </c>
      <c r="B27" s="97" t="s">
        <v>55</v>
      </c>
      <c r="C27" s="20" t="s">
        <v>252</v>
      </c>
      <c r="D27" s="20" t="s">
        <v>251</v>
      </c>
      <c r="E27" s="22">
        <v>32</v>
      </c>
      <c r="F27" s="97" t="s">
        <v>71</v>
      </c>
      <c r="G27" s="20" t="s">
        <v>253</v>
      </c>
      <c r="H27" s="20" t="s">
        <v>277</v>
      </c>
      <c r="I27" s="20"/>
    </row>
    <row r="28" spans="1:9" ht="15" customHeight="1" x14ac:dyDescent="0.2">
      <c r="A28" s="22">
        <v>33</v>
      </c>
      <c r="B28" s="97" t="s">
        <v>56</v>
      </c>
      <c r="C28" s="20" t="s">
        <v>260</v>
      </c>
      <c r="D28" s="20" t="s">
        <v>264</v>
      </c>
      <c r="E28" s="22">
        <v>34</v>
      </c>
      <c r="F28" s="97" t="s">
        <v>72</v>
      </c>
      <c r="G28" s="20" t="s">
        <v>261</v>
      </c>
      <c r="H28" s="20" t="s">
        <v>265</v>
      </c>
      <c r="I28" s="20"/>
    </row>
    <row r="29" spans="1:9" ht="15.95" customHeight="1" thickBot="1" x14ac:dyDescent="0.25">
      <c r="A29" s="23">
        <v>35</v>
      </c>
      <c r="B29" s="98" t="s">
        <v>57</v>
      </c>
      <c r="C29" s="198" t="s">
        <v>268</v>
      </c>
      <c r="D29" s="198" t="s">
        <v>267</v>
      </c>
      <c r="E29" s="23">
        <v>36</v>
      </c>
      <c r="F29" s="98" t="s">
        <v>73</v>
      </c>
      <c r="G29" s="198" t="s">
        <v>269</v>
      </c>
      <c r="H29" s="198" t="s">
        <v>275</v>
      </c>
      <c r="I29" s="198"/>
    </row>
    <row r="30" spans="1:9" ht="15" customHeight="1" x14ac:dyDescent="0.2">
      <c r="A30" s="252">
        <v>37</v>
      </c>
      <c r="B30" s="246" t="s">
        <v>9</v>
      </c>
      <c r="C30" s="19" t="s">
        <v>245</v>
      </c>
      <c r="D30" s="38" t="s">
        <v>249</v>
      </c>
      <c r="E30" s="252">
        <v>38</v>
      </c>
      <c r="F30" s="246" t="s">
        <v>10</v>
      </c>
      <c r="G30" s="19" t="s">
        <v>253</v>
      </c>
      <c r="H30" s="38" t="s">
        <v>257</v>
      </c>
      <c r="I30" s="8"/>
    </row>
    <row r="31" spans="1:9" ht="15" customHeight="1" x14ac:dyDescent="0.2">
      <c r="A31" s="253"/>
      <c r="B31" s="247"/>
      <c r="C31" s="121" t="s">
        <v>276</v>
      </c>
      <c r="D31" s="122" t="s">
        <v>250</v>
      </c>
      <c r="E31" s="253"/>
      <c r="F31" s="247"/>
      <c r="G31" s="121" t="s">
        <v>251</v>
      </c>
      <c r="H31" s="122" t="s">
        <v>283</v>
      </c>
      <c r="I31" s="8"/>
    </row>
    <row r="32" spans="1:9" ht="15" customHeight="1" x14ac:dyDescent="0.2">
      <c r="A32" s="253"/>
      <c r="B32" s="247"/>
      <c r="C32" s="20" t="s">
        <v>246</v>
      </c>
      <c r="D32" s="39" t="s">
        <v>284</v>
      </c>
      <c r="E32" s="253"/>
      <c r="F32" s="247"/>
      <c r="G32" s="20" t="s">
        <v>252</v>
      </c>
      <c r="H32" s="39" t="s">
        <v>254</v>
      </c>
      <c r="I32" s="8"/>
    </row>
    <row r="33" spans="1:9" ht="15.95" customHeight="1" thickBot="1" x14ac:dyDescent="0.25">
      <c r="A33" s="254"/>
      <c r="B33" s="248"/>
      <c r="C33" s="123" t="s">
        <v>243</v>
      </c>
      <c r="D33" s="124" t="s">
        <v>285</v>
      </c>
      <c r="E33" s="254"/>
      <c r="F33" s="248"/>
      <c r="G33" s="123" t="s">
        <v>277</v>
      </c>
      <c r="H33" s="124" t="s">
        <v>255</v>
      </c>
      <c r="I33" s="8"/>
    </row>
    <row r="34" spans="1:9" ht="15" customHeight="1" x14ac:dyDescent="0.2">
      <c r="A34" s="252">
        <v>39</v>
      </c>
      <c r="B34" s="246" t="s">
        <v>11</v>
      </c>
      <c r="C34" s="38" t="s">
        <v>260</v>
      </c>
      <c r="D34" s="38" t="s">
        <v>258</v>
      </c>
      <c r="E34" s="252">
        <v>40</v>
      </c>
      <c r="F34" s="246" t="s">
        <v>12</v>
      </c>
      <c r="G34" s="38" t="s">
        <v>268</v>
      </c>
      <c r="H34" s="38" t="s">
        <v>279</v>
      </c>
      <c r="I34" s="8"/>
    </row>
    <row r="35" spans="1:9" ht="15" customHeight="1" x14ac:dyDescent="0.2">
      <c r="A35" s="253"/>
      <c r="B35" s="247"/>
      <c r="C35" s="125" t="s">
        <v>264</v>
      </c>
      <c r="D35" s="125" t="s">
        <v>270</v>
      </c>
      <c r="E35" s="253"/>
      <c r="F35" s="247"/>
      <c r="G35" s="125" t="s">
        <v>269</v>
      </c>
      <c r="H35" s="125" t="s">
        <v>280</v>
      </c>
      <c r="I35" s="8"/>
    </row>
    <row r="36" spans="1:9" ht="15" customHeight="1" x14ac:dyDescent="0.2">
      <c r="A36" s="253"/>
      <c r="B36" s="247"/>
      <c r="C36" s="120" t="s">
        <v>265</v>
      </c>
      <c r="D36" s="120" t="s">
        <v>262</v>
      </c>
      <c r="E36" s="253"/>
      <c r="F36" s="247"/>
      <c r="G36" s="39" t="s">
        <v>267</v>
      </c>
      <c r="H36" s="39" t="s">
        <v>275</v>
      </c>
      <c r="I36" s="8"/>
    </row>
    <row r="37" spans="1:9" ht="15.95" customHeight="1" thickBot="1" x14ac:dyDescent="0.25">
      <c r="A37" s="254"/>
      <c r="B37" s="248"/>
      <c r="C37" s="126" t="s">
        <v>261</v>
      </c>
      <c r="D37" s="126" t="s">
        <v>282</v>
      </c>
      <c r="E37" s="254"/>
      <c r="F37" s="248"/>
      <c r="G37" s="126" t="s">
        <v>272</v>
      </c>
      <c r="H37" s="126" t="s">
        <v>281</v>
      </c>
      <c r="I37" s="8"/>
    </row>
    <row r="38" spans="1:9" ht="12" customHeight="1" x14ac:dyDescent="0.2">
      <c r="A38" s="25"/>
      <c r="B38" s="26"/>
      <c r="C38" s="26"/>
      <c r="D38" s="26"/>
      <c r="E38" s="26"/>
      <c r="F38" s="26"/>
      <c r="G38" s="26"/>
      <c r="H38" s="26"/>
      <c r="I38" s="28"/>
    </row>
    <row r="39" spans="1:9" ht="12" customHeight="1" x14ac:dyDescent="0.2">
      <c r="A39" s="29"/>
      <c r="B39" s="28"/>
      <c r="C39" s="28"/>
      <c r="D39" s="28"/>
      <c r="E39" s="28"/>
      <c r="F39" s="28"/>
      <c r="G39" s="28"/>
      <c r="H39" s="28"/>
      <c r="I39" s="28"/>
    </row>
    <row r="40" spans="1:9" ht="12" customHeight="1" x14ac:dyDescent="0.2">
      <c r="A40" s="29"/>
      <c r="B40" s="28"/>
      <c r="C40" s="28"/>
      <c r="D40" s="28"/>
      <c r="E40" s="28"/>
      <c r="F40" s="28"/>
      <c r="G40" s="28"/>
      <c r="H40" s="28"/>
      <c r="I40" s="28"/>
    </row>
    <row r="41" spans="1:9" ht="12" customHeight="1" x14ac:dyDescent="0.2">
      <c r="A41" s="29"/>
      <c r="B41" s="28"/>
      <c r="C41" s="28"/>
      <c r="D41" s="28"/>
      <c r="E41" s="28"/>
      <c r="F41" s="28"/>
      <c r="G41" s="28"/>
      <c r="H41" s="28"/>
      <c r="I41" s="28"/>
    </row>
    <row r="42" spans="1:9" ht="12" customHeight="1" x14ac:dyDescent="0.2">
      <c r="A42" s="29"/>
      <c r="B42" s="28"/>
      <c r="C42" s="31"/>
      <c r="D42" s="30"/>
      <c r="E42" s="28"/>
      <c r="F42" s="28"/>
      <c r="G42" s="28"/>
      <c r="H42" s="28"/>
      <c r="I42" s="28"/>
    </row>
    <row r="43" spans="1:9" ht="12" customHeight="1" x14ac:dyDescent="0.2">
      <c r="A43" s="29"/>
      <c r="B43" s="28"/>
      <c r="C43" s="31"/>
      <c r="D43" s="30"/>
      <c r="E43" s="28"/>
      <c r="F43" s="28"/>
      <c r="G43" s="28"/>
      <c r="H43" s="28"/>
      <c r="I43" s="28"/>
    </row>
    <row r="44" spans="1:9" ht="12" customHeight="1" x14ac:dyDescent="0.2">
      <c r="A44" s="29"/>
      <c r="B44" s="28"/>
      <c r="C44" s="31"/>
      <c r="D44" s="30"/>
      <c r="E44" s="28"/>
      <c r="F44" s="28"/>
      <c r="G44" s="28"/>
      <c r="H44" s="28"/>
      <c r="I44" s="28"/>
    </row>
    <row r="45" spans="1:9" ht="12" customHeight="1" x14ac:dyDescent="0.2">
      <c r="A45" s="32"/>
      <c r="B45" s="33"/>
      <c r="C45" s="34"/>
      <c r="D45" s="35"/>
      <c r="E45" s="33"/>
      <c r="F45" s="33"/>
      <c r="G45" s="33"/>
      <c r="H45" s="33"/>
      <c r="I45" s="33"/>
    </row>
  </sheetData>
  <mergeCells count="18">
    <mergeCell ref="A2:H2"/>
    <mergeCell ref="C4:D4"/>
    <mergeCell ref="A6:A9"/>
    <mergeCell ref="B6:B9"/>
    <mergeCell ref="E6:E9"/>
    <mergeCell ref="F6:F9"/>
    <mergeCell ref="A34:A37"/>
    <mergeCell ref="B34:B37"/>
    <mergeCell ref="E34:E37"/>
    <mergeCell ref="F34:F37"/>
    <mergeCell ref="A10:A13"/>
    <mergeCell ref="B10:B13"/>
    <mergeCell ref="E10:E13"/>
    <mergeCell ref="F10:F13"/>
    <mergeCell ref="A30:A33"/>
    <mergeCell ref="B30:B33"/>
    <mergeCell ref="E30:E33"/>
    <mergeCell ref="F30:F33"/>
  </mergeCells>
  <conditionalFormatting sqref="C4 G4">
    <cfRule type="cellIs" dxfId="3" priority="1" stopIfTrue="1" operator="equal">
      <formula>"Lurgan"</formula>
    </cfRule>
  </conditionalFormatting>
  <pageMargins left="0" right="0" top="0" bottom="0" header="0" footer="0"/>
  <pageSetup paperSize="9" scale="9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IZ55"/>
  <sheetViews>
    <sheetView showGridLines="0" topLeftCell="B14" zoomScale="90" zoomScaleNormal="90" workbookViewId="0">
      <selection activeCell="J42" sqref="J42"/>
    </sheetView>
  </sheetViews>
  <sheetFormatPr defaultColWidth="6.59765625" defaultRowHeight="12" customHeight="1" x14ac:dyDescent="0.2"/>
  <cols>
    <col min="1" max="1" width="3" style="90" customWidth="1"/>
    <col min="2" max="2" width="12.796875" style="90" customWidth="1"/>
    <col min="3" max="4" width="16" style="90" customWidth="1"/>
    <col min="5" max="7" width="5.09765625" style="90" customWidth="1"/>
    <col min="8" max="8" width="3" style="90" customWidth="1"/>
    <col min="9" max="9" width="12.8984375" style="90" customWidth="1"/>
    <col min="10" max="11" width="16" style="90" customWidth="1"/>
    <col min="12" max="14" width="5.09765625" style="90" customWidth="1"/>
    <col min="15" max="15" width="0.59765625" style="90" customWidth="1"/>
    <col min="16" max="16" width="22.3984375" style="90" customWidth="1"/>
    <col min="17" max="260" width="6.59765625" style="90" customWidth="1"/>
  </cols>
  <sheetData>
    <row r="1" spans="1:16" ht="12" customHeight="1" x14ac:dyDescent="0.2">
      <c r="A1" s="2"/>
      <c r="B1" s="3"/>
      <c r="C1" s="3"/>
      <c r="D1" s="4"/>
      <c r="E1" s="3"/>
      <c r="F1" s="3"/>
      <c r="G1" s="3"/>
      <c r="H1" s="3"/>
      <c r="I1" s="3"/>
      <c r="J1" s="3"/>
      <c r="K1" s="3"/>
      <c r="L1" s="3"/>
      <c r="M1" s="3"/>
      <c r="N1" s="5"/>
      <c r="O1" s="6"/>
      <c r="P1" s="7"/>
    </row>
    <row r="2" spans="1:16" ht="15.75" x14ac:dyDescent="0.25">
      <c r="A2" s="259" t="s">
        <v>144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60"/>
      <c r="O2" s="8"/>
      <c r="P2" s="9"/>
    </row>
    <row r="3" spans="1:16" ht="15" customHeight="1" thickBot="1" x14ac:dyDescent="0.25">
      <c r="A3" s="10"/>
      <c r="B3" s="11"/>
      <c r="C3" s="12"/>
      <c r="D3" s="13"/>
      <c r="E3" s="12"/>
      <c r="F3" s="12"/>
      <c r="G3" s="12"/>
      <c r="H3" s="12"/>
      <c r="I3" s="12"/>
      <c r="J3" s="12"/>
      <c r="K3" s="12"/>
      <c r="L3" s="94"/>
      <c r="M3" s="157"/>
      <c r="N3" s="94"/>
      <c r="O3" s="8"/>
      <c r="P3" s="9"/>
    </row>
    <row r="4" spans="1:16" ht="15.95" customHeight="1" thickBot="1" x14ac:dyDescent="0.25">
      <c r="A4" s="14" t="s">
        <v>123</v>
      </c>
      <c r="B4" s="15"/>
      <c r="C4" s="261" t="str">
        <f>IF(Team1!C4="","",Team1!C4)</f>
        <v>Coleraine</v>
      </c>
      <c r="D4" s="262"/>
      <c r="E4" s="119"/>
      <c r="F4" s="119"/>
      <c r="G4" s="119"/>
      <c r="H4" s="16" t="str">
        <f>A4</f>
        <v>Team 1:</v>
      </c>
      <c r="I4" s="15"/>
      <c r="J4" s="16"/>
      <c r="K4" s="15"/>
      <c r="L4" s="15"/>
      <c r="M4" s="15"/>
      <c r="N4" s="17"/>
      <c r="O4" s="8"/>
      <c r="P4" s="9"/>
    </row>
    <row r="5" spans="1:16" ht="15.95" customHeight="1" thickBot="1" x14ac:dyDescent="0.25">
      <c r="A5" s="99" t="s">
        <v>74</v>
      </c>
      <c r="B5" s="18" t="s">
        <v>1</v>
      </c>
      <c r="C5" s="18" t="s">
        <v>2</v>
      </c>
      <c r="D5" s="18" t="s">
        <v>14</v>
      </c>
      <c r="E5" s="170" t="s">
        <v>119</v>
      </c>
      <c r="F5" s="170" t="s">
        <v>120</v>
      </c>
      <c r="G5" s="170" t="s">
        <v>121</v>
      </c>
      <c r="H5" s="100" t="s">
        <v>74</v>
      </c>
      <c r="I5" s="18" t="s">
        <v>1</v>
      </c>
      <c r="J5" s="18" t="s">
        <v>2</v>
      </c>
      <c r="K5" s="18" t="s">
        <v>14</v>
      </c>
      <c r="L5" s="170" t="s">
        <v>119</v>
      </c>
      <c r="M5" s="170" t="s">
        <v>120</v>
      </c>
      <c r="N5" s="170" t="s">
        <v>121</v>
      </c>
      <c r="O5" s="8"/>
      <c r="P5" s="9"/>
    </row>
    <row r="6" spans="1:16" ht="15" customHeight="1" x14ac:dyDescent="0.2">
      <c r="A6" s="252">
        <v>1</v>
      </c>
      <c r="B6" s="246" t="s">
        <v>5</v>
      </c>
      <c r="C6" s="91" t="str">
        <f>IF(Team1!C6="","",Team1!C6)</f>
        <v>Sarah Campbell</v>
      </c>
      <c r="D6" s="91" t="str">
        <f>IF(Team1!D6="","",Team1!D6)</f>
        <v>Robyn Little</v>
      </c>
      <c r="E6" s="116"/>
      <c r="F6" s="116"/>
      <c r="G6" s="116"/>
      <c r="H6" s="252">
        <v>2</v>
      </c>
      <c r="I6" s="246" t="s">
        <v>6</v>
      </c>
      <c r="J6" s="19" t="str">
        <f>IF(Team1!G6="","",Team1!G6)</f>
        <v>Olivia Higgins</v>
      </c>
      <c r="K6" s="19" t="str">
        <f>IF(Team1!H6="","",Team1!H6)</f>
        <v>Erin Isley</v>
      </c>
      <c r="L6" s="117"/>
      <c r="M6" s="117"/>
      <c r="N6" s="117"/>
      <c r="O6" s="8"/>
      <c r="P6" s="9"/>
    </row>
    <row r="7" spans="1:16" ht="15" customHeight="1" x14ac:dyDescent="0.2">
      <c r="A7" s="253"/>
      <c r="B7" s="247"/>
      <c r="C7" s="127" t="str">
        <f>IF(Team1!C7="","",Team1!C7)</f>
        <v>Alfie Grocott</v>
      </c>
      <c r="D7" s="127" t="str">
        <f>IF(Team1!D7="","",Team1!D7)</f>
        <v>Humphry Spence</v>
      </c>
      <c r="E7" s="116"/>
      <c r="F7" s="116"/>
      <c r="G7" s="116"/>
      <c r="H7" s="253"/>
      <c r="I7" s="247"/>
      <c r="J7" s="121" t="str">
        <f>IF(Team1!G7="","",Team1!G7)</f>
        <v>Dara Cassidy</v>
      </c>
      <c r="K7" s="121" t="str">
        <f>IF(Team1!H7="","",Team1!H7)</f>
        <v>Eva Marran</v>
      </c>
      <c r="L7" s="116"/>
      <c r="M7" s="116"/>
      <c r="N7" s="116"/>
      <c r="O7" s="8"/>
      <c r="P7" s="9"/>
    </row>
    <row r="8" spans="1:16" ht="15" customHeight="1" x14ac:dyDescent="0.2">
      <c r="A8" s="253"/>
      <c r="B8" s="247"/>
      <c r="C8" s="92" t="str">
        <f>IF(Team1!C8="","",Team1!C8)</f>
        <v>Alice Boyle</v>
      </c>
      <c r="D8" s="92" t="str">
        <f>IF(Team1!D8="","",Team1!D8)</f>
        <v>Campbell Smyth</v>
      </c>
      <c r="E8" s="116"/>
      <c r="F8" s="116"/>
      <c r="G8" s="116"/>
      <c r="H8" s="253"/>
      <c r="I8" s="247"/>
      <c r="J8" s="20" t="str">
        <f>IF(Team1!G8="","",Team1!G8)</f>
        <v>Reuben Turbitt</v>
      </c>
      <c r="K8" s="20" t="str">
        <f>IF(Team1!H8="","",Team1!H8)</f>
        <v>Noah McClelland</v>
      </c>
      <c r="L8" s="116"/>
      <c r="M8" s="116"/>
      <c r="N8" s="116"/>
      <c r="O8" s="8"/>
      <c r="P8" s="9"/>
    </row>
    <row r="9" spans="1:16" ht="15.95" customHeight="1" thickBot="1" x14ac:dyDescent="0.25">
      <c r="A9" s="254"/>
      <c r="B9" s="248"/>
      <c r="C9" s="128" t="str">
        <f>IF(Team1!C9="","",Team1!C9)</f>
        <v>Lewis Hawe</v>
      </c>
      <c r="D9" s="128" t="str">
        <f>IF(Team1!D9="","",Team1!D9)</f>
        <v>Olivia Jenkinson</v>
      </c>
      <c r="E9" s="118"/>
      <c r="F9" s="118"/>
      <c r="G9" s="118"/>
      <c r="H9" s="254"/>
      <c r="I9" s="248"/>
      <c r="J9" s="123" t="str">
        <f>IF(Team1!G9="","",Team1!G9)</f>
        <v>Rose McKenna</v>
      </c>
      <c r="K9" s="123" t="str">
        <f>IF(Team1!H9="","",Team1!H9)</f>
        <v>James Hegarty</v>
      </c>
      <c r="L9" s="118"/>
      <c r="M9" s="118"/>
      <c r="N9" s="118"/>
      <c r="O9" s="8"/>
      <c r="P9" s="9"/>
    </row>
    <row r="10" spans="1:16" ht="15" customHeight="1" x14ac:dyDescent="0.2">
      <c r="A10" s="252">
        <v>3</v>
      </c>
      <c r="B10" s="246" t="s">
        <v>7</v>
      </c>
      <c r="C10" s="104" t="str">
        <f>IF(Team1!C10="","",Team1!C10)</f>
        <v>Cameron Kennedy-Farr</v>
      </c>
      <c r="D10" s="91" t="str">
        <f>IF(Team1!D10="","",Team1!D10)</f>
        <v xml:space="preserve">Daniel Eakin </v>
      </c>
      <c r="E10" s="117"/>
      <c r="F10" s="117"/>
      <c r="G10" s="117"/>
      <c r="H10" s="252">
        <v>4</v>
      </c>
      <c r="I10" s="246" t="s">
        <v>8</v>
      </c>
      <c r="J10" s="19" t="str">
        <f>IF(Team1!G10="","",Team1!G10)</f>
        <v>Lauren Murray</v>
      </c>
      <c r="K10" s="19" t="str">
        <f>IF(Team1!H10="","",Team1!H10)</f>
        <v>Fionnan Duffin</v>
      </c>
      <c r="L10" s="117"/>
      <c r="M10" s="117"/>
      <c r="N10" s="117"/>
      <c r="O10" s="8"/>
      <c r="P10" s="9"/>
    </row>
    <row r="11" spans="1:16" ht="15" customHeight="1" x14ac:dyDescent="0.2">
      <c r="A11" s="253"/>
      <c r="B11" s="247"/>
      <c r="C11" s="131" t="str">
        <f>IF(Team1!C11="","",Team1!C11)</f>
        <v>Nathan Elliott</v>
      </c>
      <c r="D11" s="132" t="str">
        <f>IF(Team1!D11="","",Team1!D11)</f>
        <v>Lily Jones</v>
      </c>
      <c r="E11" s="116"/>
      <c r="F11" s="116"/>
      <c r="G11" s="116"/>
      <c r="H11" s="253"/>
      <c r="I11" s="247"/>
      <c r="J11" s="135" t="str">
        <f>IF(Team1!G11="","",Team1!G11)</f>
        <v>Mairi Clements</v>
      </c>
      <c r="K11" s="135" t="str">
        <f>IF(Team1!H11="","",Team1!H11)</f>
        <v>Joshua Hawe</v>
      </c>
      <c r="L11" s="116"/>
      <c r="M11" s="116"/>
      <c r="N11" s="116"/>
      <c r="O11" s="8"/>
      <c r="P11" s="9"/>
    </row>
    <row r="12" spans="1:16" ht="15" customHeight="1" x14ac:dyDescent="0.2">
      <c r="A12" s="253"/>
      <c r="B12" s="247"/>
      <c r="C12" s="105" t="str">
        <f>IF(Team1!C12="","",Team1!C12)</f>
        <v>Eida Greene</v>
      </c>
      <c r="D12" s="92" t="str">
        <f>IF(Team1!D12="","",Team1!D12)</f>
        <v>Kioni Little</v>
      </c>
      <c r="E12" s="116"/>
      <c r="F12" s="116"/>
      <c r="G12" s="116"/>
      <c r="H12" s="253"/>
      <c r="I12" s="247"/>
      <c r="J12" s="20" t="str">
        <f>IF(Team1!G12="","",Team1!G12)</f>
        <v>Ethan Turbitt</v>
      </c>
      <c r="K12" s="20" t="str">
        <f>IF(Team1!H12="","",Team1!H12)</f>
        <v>Emma Price</v>
      </c>
      <c r="L12" s="116"/>
      <c r="M12" s="116"/>
      <c r="N12" s="116"/>
      <c r="O12" s="8"/>
      <c r="P12" s="9"/>
    </row>
    <row r="13" spans="1:16" ht="15.95" customHeight="1" thickBot="1" x14ac:dyDescent="0.25">
      <c r="A13" s="254"/>
      <c r="B13" s="248"/>
      <c r="C13" s="133" t="str">
        <f>IF(Team1!C13="","",Team1!C13)</f>
        <v>Chloe-May Callaghan</v>
      </c>
      <c r="D13" s="134" t="str">
        <f>IF(Team1!D13="","",Team1!D13)</f>
        <v>Riona Cassidy</v>
      </c>
      <c r="E13" s="118"/>
      <c r="F13" s="118"/>
      <c r="G13" s="118"/>
      <c r="H13" s="254"/>
      <c r="I13" s="248"/>
      <c r="J13" s="136" t="str">
        <f>IF(Team1!G13="","",Team1!G13)</f>
        <v>Isaac Duddy</v>
      </c>
      <c r="K13" s="134" t="str">
        <f>IF(Team1!H13="","",Team1!H13)</f>
        <v>Isla McClelland</v>
      </c>
      <c r="L13" s="118"/>
      <c r="M13" s="118"/>
      <c r="N13" s="118"/>
      <c r="O13" s="8"/>
      <c r="P13" s="9"/>
    </row>
    <row r="14" spans="1:16" ht="15.95" customHeight="1" thickBot="1" x14ac:dyDescent="0.25">
      <c r="A14" s="137"/>
      <c r="B14" s="138"/>
      <c r="C14" s="139"/>
      <c r="D14" s="139"/>
      <c r="E14" s="139"/>
      <c r="F14" s="139"/>
      <c r="G14" s="139"/>
      <c r="H14" s="139"/>
      <c r="I14" s="138"/>
      <c r="J14" s="139"/>
      <c r="K14" s="151" t="s">
        <v>95</v>
      </c>
      <c r="L14" s="116"/>
      <c r="M14" s="116"/>
      <c r="N14" s="116"/>
      <c r="O14" s="8"/>
      <c r="P14" s="9"/>
    </row>
    <row r="15" spans="1:16" ht="15" customHeight="1" x14ac:dyDescent="0.2">
      <c r="A15" s="21">
        <v>5</v>
      </c>
      <c r="B15" s="96" t="s">
        <v>83</v>
      </c>
      <c r="C15" s="91" t="str">
        <f>IF(Team1!C14="","",Team1!C14)</f>
        <v>Olivia Jenkinson</v>
      </c>
      <c r="D15" s="91" t="str">
        <f>IF(Team1!D14="","",Team1!D14)</f>
        <v>Robyn Little</v>
      </c>
      <c r="E15" s="103"/>
      <c r="F15" s="103"/>
      <c r="G15" s="103"/>
      <c r="H15" s="21">
        <v>6</v>
      </c>
      <c r="I15" s="96" t="s">
        <v>58</v>
      </c>
      <c r="J15" s="91" t="str">
        <f>IF(Team1!G14="","",Team1!G14)</f>
        <v>Lewis Hawe</v>
      </c>
      <c r="K15" s="91" t="str">
        <f>IF(Team1!H14="","",Team1!H14)</f>
        <v>Campbell Smyth</v>
      </c>
      <c r="L15" s="103"/>
      <c r="M15" s="103"/>
      <c r="N15" s="103"/>
      <c r="O15" s="8"/>
      <c r="P15" s="9"/>
    </row>
    <row r="16" spans="1:16" ht="15" customHeight="1" x14ac:dyDescent="0.2">
      <c r="A16" s="22">
        <v>7</v>
      </c>
      <c r="B16" s="97" t="s">
        <v>84</v>
      </c>
      <c r="C16" s="92" t="str">
        <f>IF(Team1!C15="","",Team1!C15)</f>
        <v>Olivia Higgins</v>
      </c>
      <c r="D16" s="92" t="str">
        <f>IF(Team1!D15="","",Team1!D15)</f>
        <v>Erin Isley</v>
      </c>
      <c r="E16" s="101"/>
      <c r="F16" s="101"/>
      <c r="G16" s="101"/>
      <c r="H16" s="22">
        <v>8</v>
      </c>
      <c r="I16" s="97" t="s">
        <v>59</v>
      </c>
      <c r="J16" s="92" t="str">
        <f>IF(Team1!G15="","",Team1!G15)</f>
        <v>James Hegarty</v>
      </c>
      <c r="K16" s="92" t="str">
        <f>IF(Team1!H15="","",Team1!H15)</f>
        <v>Noah McClelland</v>
      </c>
      <c r="L16" s="101"/>
      <c r="M16" s="101"/>
      <c r="N16" s="101"/>
      <c r="O16" s="8"/>
      <c r="P16" s="9"/>
    </row>
    <row r="17" spans="1:16" ht="15" customHeight="1" x14ac:dyDescent="0.2">
      <c r="A17" s="22">
        <v>9</v>
      </c>
      <c r="B17" s="97" t="s">
        <v>85</v>
      </c>
      <c r="C17" s="92" t="str">
        <f>IF(Team1!C16="","",Team1!C16)</f>
        <v>Lily Jones</v>
      </c>
      <c r="D17" s="92" t="str">
        <f>IF(Team1!D16="","",Team1!D16)</f>
        <v>Riona Cassidy</v>
      </c>
      <c r="E17" s="101"/>
      <c r="F17" s="101"/>
      <c r="G17" s="101"/>
      <c r="H17" s="22">
        <v>10</v>
      </c>
      <c r="I17" s="97" t="s">
        <v>60</v>
      </c>
      <c r="J17" s="92" t="str">
        <f>IF(Team1!G16="","",Team1!G16)</f>
        <v>Kioni Little</v>
      </c>
      <c r="K17" s="92" t="str">
        <f>IF(Team1!H16="","",Team1!H16)</f>
        <v>Daniel Eakin</v>
      </c>
      <c r="L17" s="101"/>
      <c r="M17" s="101"/>
      <c r="N17" s="101"/>
      <c r="O17" s="8"/>
      <c r="P17" s="9"/>
    </row>
    <row r="18" spans="1:16" ht="15.95" customHeight="1" thickBot="1" x14ac:dyDescent="0.25">
      <c r="A18" s="23">
        <v>11</v>
      </c>
      <c r="B18" s="98" t="s">
        <v>86</v>
      </c>
      <c r="C18" s="93" t="str">
        <f>IF(Team1!C17="","",Team1!C17)</f>
        <v>Kitty McClarty</v>
      </c>
      <c r="D18" s="93" t="str">
        <f>IF(Team1!D17="","",Team1!D17)</f>
        <v>Isla McClelland</v>
      </c>
      <c r="E18" s="102"/>
      <c r="F18" s="102"/>
      <c r="G18" s="102"/>
      <c r="H18" s="23">
        <v>12</v>
      </c>
      <c r="I18" s="98" t="s">
        <v>61</v>
      </c>
      <c r="J18" s="93" t="str">
        <f>IF(Team1!G17="","",Team1!G17)</f>
        <v>Joshua Hawe</v>
      </c>
      <c r="K18" s="93" t="str">
        <f>IF(Team1!H17="","",Team1!H17)</f>
        <v>Fionnan Duffin</v>
      </c>
      <c r="L18" s="102"/>
      <c r="M18" s="102"/>
      <c r="N18" s="102"/>
      <c r="O18" s="8"/>
      <c r="P18" s="9"/>
    </row>
    <row r="19" spans="1:16" ht="15.95" customHeight="1" thickBot="1" x14ac:dyDescent="0.25">
      <c r="A19" s="163"/>
      <c r="B19" s="164"/>
      <c r="C19" s="165"/>
      <c r="D19" s="169" t="s">
        <v>103</v>
      </c>
      <c r="E19" s="166"/>
      <c r="F19" s="166"/>
      <c r="G19" s="166"/>
      <c r="H19" s="167"/>
      <c r="I19" s="164"/>
      <c r="J19" s="165"/>
      <c r="K19" s="169" t="s">
        <v>104</v>
      </c>
      <c r="L19" s="166"/>
      <c r="M19" s="166"/>
      <c r="N19" s="166"/>
      <c r="O19" s="8"/>
      <c r="P19" s="9"/>
    </row>
    <row r="20" spans="1:16" ht="15.95" customHeight="1" thickBot="1" x14ac:dyDescent="0.25">
      <c r="A20" s="137"/>
      <c r="B20" s="138"/>
      <c r="C20" s="139"/>
      <c r="D20" s="139"/>
      <c r="E20" s="139"/>
      <c r="F20" s="139"/>
      <c r="G20" s="139"/>
      <c r="H20" s="139"/>
      <c r="I20" s="138"/>
      <c r="J20" s="139"/>
      <c r="K20" s="151" t="s">
        <v>96</v>
      </c>
      <c r="L20" s="116"/>
      <c r="M20" s="116"/>
      <c r="N20" s="116"/>
      <c r="O20" s="8"/>
      <c r="P20" s="9"/>
    </row>
    <row r="21" spans="1:16" ht="15" customHeight="1" x14ac:dyDescent="0.2">
      <c r="A21" s="21">
        <v>13</v>
      </c>
      <c r="B21" s="96" t="s">
        <v>105</v>
      </c>
      <c r="C21" s="91" t="str">
        <f>IF(Team1!C18="","",Team1!C18)</f>
        <v>Alice Boyle</v>
      </c>
      <c r="D21" s="91" t="str">
        <f>IF(Team1!D18="","",Team1!D18)</f>
        <v>Olivia Jenkinson</v>
      </c>
      <c r="E21" s="103"/>
      <c r="F21" s="103"/>
      <c r="G21" s="103"/>
      <c r="H21" s="21">
        <v>14</v>
      </c>
      <c r="I21" s="96" t="s">
        <v>109</v>
      </c>
      <c r="J21" s="91" t="str">
        <f>IF(Team1!G18="","",Team1!G18)</f>
        <v>Humphry Spence</v>
      </c>
      <c r="K21" s="91" t="str">
        <f>IF(Team1!H18="","",Team1!H18)</f>
        <v>Campbell Smyth</v>
      </c>
      <c r="L21" s="103"/>
      <c r="M21" s="103"/>
      <c r="N21" s="103"/>
      <c r="O21" s="8"/>
      <c r="P21" s="9"/>
    </row>
    <row r="22" spans="1:16" ht="15" customHeight="1" x14ac:dyDescent="0.2">
      <c r="A22" s="22">
        <v>15</v>
      </c>
      <c r="B22" s="97" t="s">
        <v>106</v>
      </c>
      <c r="C22" s="92" t="str">
        <f>IF(Team1!C19="","",Team1!C19)</f>
        <v>Erin Isley</v>
      </c>
      <c r="D22" s="92" t="str">
        <f>IF(Team1!D19="","",Team1!D19)</f>
        <v>Eva Marran</v>
      </c>
      <c r="E22" s="101"/>
      <c r="F22" s="101"/>
      <c r="G22" s="101"/>
      <c r="H22" s="22">
        <v>16</v>
      </c>
      <c r="I22" s="97" t="s">
        <v>110</v>
      </c>
      <c r="J22" s="92" t="str">
        <f>IF(Team1!G19="","",Team1!G19)</f>
        <v>Dara Cassidy</v>
      </c>
      <c r="K22" s="92" t="str">
        <f>IF(Team1!H19="","",Team1!H19)</f>
        <v>Noah McClelland</v>
      </c>
      <c r="L22" s="101"/>
      <c r="M22" s="101"/>
      <c r="N22" s="101"/>
      <c r="O22" s="8"/>
      <c r="P22" s="9"/>
    </row>
    <row r="23" spans="1:16" ht="15" customHeight="1" x14ac:dyDescent="0.2">
      <c r="A23" s="22">
        <v>17</v>
      </c>
      <c r="B23" s="97" t="s">
        <v>107</v>
      </c>
      <c r="C23" s="92" t="str">
        <f>IF(Team1!C20="","",Team1!C20)</f>
        <v>Riona Cassidy</v>
      </c>
      <c r="D23" s="92" t="str">
        <f>IF(Team1!D20="","",Team1!D20)</f>
        <v>Lily Jones</v>
      </c>
      <c r="E23" s="101"/>
      <c r="F23" s="101"/>
      <c r="G23" s="101"/>
      <c r="H23" s="22">
        <v>18</v>
      </c>
      <c r="I23" s="97" t="s">
        <v>111</v>
      </c>
      <c r="J23" s="92" t="str">
        <f>IF(Team1!G20="","",Team1!G20)</f>
        <v>Kioni Little</v>
      </c>
      <c r="K23" s="92" t="str">
        <f>IF(Team1!H20="","",Team1!H20)</f>
        <v>Daniel Eakin</v>
      </c>
      <c r="L23" s="101"/>
      <c r="M23" s="101"/>
      <c r="N23" s="101"/>
      <c r="O23" s="8"/>
      <c r="P23" s="9"/>
    </row>
    <row r="24" spans="1:16" ht="15.95" customHeight="1" thickBot="1" x14ac:dyDescent="0.25">
      <c r="A24" s="23">
        <v>19</v>
      </c>
      <c r="B24" s="98" t="s">
        <v>108</v>
      </c>
      <c r="C24" s="93" t="str">
        <f>IF(Team1!C21="","",Team1!C21)</f>
        <v>Mairi Clements</v>
      </c>
      <c r="D24" s="93" t="str">
        <f>IF(Team1!D21="","",Team1!D21)</f>
        <v>Lauren Murray</v>
      </c>
      <c r="E24" s="102"/>
      <c r="F24" s="102"/>
      <c r="G24" s="102"/>
      <c r="H24" s="23">
        <v>20</v>
      </c>
      <c r="I24" s="98" t="s">
        <v>112</v>
      </c>
      <c r="J24" s="93" t="str">
        <f>IF(Team1!G21="","",Team1!G21)</f>
        <v>Fionnan Duffin</v>
      </c>
      <c r="K24" s="93" t="str">
        <f>IF(Team1!H21="","",Team1!H21)</f>
        <v>Joshua Hawe</v>
      </c>
      <c r="L24" s="102"/>
      <c r="M24" s="102"/>
      <c r="N24" s="102"/>
      <c r="O24" s="8"/>
      <c r="P24" s="9"/>
    </row>
    <row r="25" spans="1:16" ht="15.95" customHeight="1" thickBot="1" x14ac:dyDescent="0.25">
      <c r="A25" s="163"/>
      <c r="B25" s="164"/>
      <c r="C25" s="165"/>
      <c r="D25" s="169" t="s">
        <v>113</v>
      </c>
      <c r="E25" s="166"/>
      <c r="F25" s="166"/>
      <c r="G25" s="166"/>
      <c r="H25" s="167"/>
      <c r="I25" s="164"/>
      <c r="J25" s="165"/>
      <c r="K25" s="169" t="s">
        <v>114</v>
      </c>
      <c r="L25" s="166"/>
      <c r="M25" s="166"/>
      <c r="N25" s="166"/>
      <c r="O25" s="8"/>
      <c r="P25" s="9"/>
    </row>
    <row r="26" spans="1:16" ht="15.95" customHeight="1" thickBot="1" x14ac:dyDescent="0.25">
      <c r="A26" s="137"/>
      <c r="B26" s="138"/>
      <c r="C26" s="139"/>
      <c r="D26" s="139"/>
      <c r="E26" s="139"/>
      <c r="F26" s="139"/>
      <c r="G26" s="139"/>
      <c r="H26" s="139"/>
      <c r="I26" s="138"/>
      <c r="J26" s="139"/>
      <c r="K26" s="151" t="s">
        <v>97</v>
      </c>
      <c r="L26" s="116"/>
      <c r="M26" s="116"/>
      <c r="N26" s="116"/>
      <c r="O26" s="8"/>
      <c r="P26" s="9"/>
    </row>
    <row r="27" spans="1:16" ht="15" customHeight="1" x14ac:dyDescent="0.2">
      <c r="A27" s="21">
        <v>21</v>
      </c>
      <c r="B27" s="96" t="s">
        <v>87</v>
      </c>
      <c r="C27" s="91" t="str">
        <f>IF(Team1!C22="","",Team1!C22)</f>
        <v>Sarah Campbell</v>
      </c>
      <c r="D27" s="91" t="str">
        <f>IF(Team1!D22="","",Team1!D22)</f>
        <v>Olivia Jenkinson</v>
      </c>
      <c r="E27" s="103"/>
      <c r="F27" s="103"/>
      <c r="G27" s="103"/>
      <c r="H27" s="21">
        <v>22</v>
      </c>
      <c r="I27" s="96" t="s">
        <v>66</v>
      </c>
      <c r="J27" s="91" t="str">
        <f>IF(Team1!G22="","",Team1!G22)</f>
        <v>Humphry Spence</v>
      </c>
      <c r="K27" s="91" t="str">
        <f>IF(Team1!H22="","",Team1!H22)</f>
        <v>Campbell Smyth</v>
      </c>
      <c r="L27" s="103"/>
      <c r="M27" s="103"/>
      <c r="N27" s="103"/>
      <c r="O27" s="8"/>
      <c r="P27" s="24"/>
    </row>
    <row r="28" spans="1:16" ht="15" customHeight="1" x14ac:dyDescent="0.2">
      <c r="A28" s="22">
        <v>23</v>
      </c>
      <c r="B28" s="97" t="s">
        <v>88</v>
      </c>
      <c r="C28" s="92" t="str">
        <f>IF(Team1!C23="","",Team1!C23)</f>
        <v>Erin Isley</v>
      </c>
      <c r="D28" s="92" t="str">
        <f>IF(Team1!D23="","",Team1!D23)</f>
        <v>Eva Marran</v>
      </c>
      <c r="E28" s="101"/>
      <c r="F28" s="101"/>
      <c r="G28" s="101"/>
      <c r="H28" s="22">
        <v>24</v>
      </c>
      <c r="I28" s="97" t="s">
        <v>67</v>
      </c>
      <c r="J28" s="92" t="str">
        <f>IF(Team1!G23="","",Team1!G23)</f>
        <v>Reuben Turbitt</v>
      </c>
      <c r="K28" s="92" t="str">
        <f>IF(Team1!H23="","",Team1!H23)</f>
        <v>Noah McClelland</v>
      </c>
      <c r="L28" s="101"/>
      <c r="M28" s="101"/>
      <c r="N28" s="101"/>
      <c r="O28" s="8"/>
      <c r="P28" s="24"/>
    </row>
    <row r="29" spans="1:16" ht="15" customHeight="1" x14ac:dyDescent="0.2">
      <c r="A29" s="22">
        <v>25</v>
      </c>
      <c r="B29" s="97" t="s">
        <v>89</v>
      </c>
      <c r="C29" s="92" t="str">
        <f>IF(Team1!C24="","",Team1!C24)</f>
        <v>Lily Jones</v>
      </c>
      <c r="D29" s="92" t="str">
        <f>IF(Team1!D24="","",Team1!D24)</f>
        <v>Eida Greene</v>
      </c>
      <c r="E29" s="101"/>
      <c r="F29" s="101"/>
      <c r="G29" s="101"/>
      <c r="H29" s="22">
        <v>26</v>
      </c>
      <c r="I29" s="97" t="s">
        <v>68</v>
      </c>
      <c r="J29" s="92" t="str">
        <f>IF(Team1!G24="","",Team1!G24)</f>
        <v>Daniel Eakin</v>
      </c>
      <c r="K29" s="92" t="str">
        <f>IF(Team1!H24="","",Team1!H24)</f>
        <v>Kioni Little</v>
      </c>
      <c r="L29" s="101"/>
      <c r="M29" s="101"/>
      <c r="N29" s="101"/>
      <c r="O29" s="8"/>
      <c r="P29" s="24"/>
    </row>
    <row r="30" spans="1:16" ht="15.95" customHeight="1" thickBot="1" x14ac:dyDescent="0.25">
      <c r="A30" s="23">
        <v>27</v>
      </c>
      <c r="B30" s="98" t="s">
        <v>90</v>
      </c>
      <c r="C30" s="93" t="str">
        <f>IF(Team1!C25="","",Team1!C25)</f>
        <v>Emma Price</v>
      </c>
      <c r="D30" s="93" t="str">
        <f>IF(Team1!D25="","",Team1!D25)</f>
        <v>Isla McClelland</v>
      </c>
      <c r="E30" s="102"/>
      <c r="F30" s="102"/>
      <c r="G30" s="102"/>
      <c r="H30" s="23">
        <v>28</v>
      </c>
      <c r="I30" s="98" t="s">
        <v>69</v>
      </c>
      <c r="J30" s="93" t="str">
        <f>IF(Team1!G25="","",Team1!G25)</f>
        <v>Isaac Duddy</v>
      </c>
      <c r="K30" s="93" t="str">
        <f>IF(Team1!H25="","",Team1!H25)</f>
        <v>Fionnan Duffin</v>
      </c>
      <c r="L30" s="102"/>
      <c r="M30" s="102"/>
      <c r="N30" s="102"/>
      <c r="O30" s="8"/>
      <c r="P30" s="9"/>
    </row>
    <row r="31" spans="1:16" ht="15.95" customHeight="1" thickBot="1" x14ac:dyDescent="0.25">
      <c r="A31" s="163"/>
      <c r="B31" s="164"/>
      <c r="C31" s="165"/>
      <c r="D31" s="169" t="s">
        <v>118</v>
      </c>
      <c r="E31" s="166"/>
      <c r="F31" s="166"/>
      <c r="G31" s="166"/>
      <c r="H31" s="167"/>
      <c r="I31" s="164"/>
      <c r="J31" s="165"/>
      <c r="K31" s="169" t="s">
        <v>115</v>
      </c>
      <c r="L31" s="166"/>
      <c r="M31" s="166"/>
      <c r="N31" s="166"/>
      <c r="O31" s="8"/>
      <c r="P31" s="9"/>
    </row>
    <row r="32" spans="1:16" ht="15.95" customHeight="1" thickBot="1" x14ac:dyDescent="0.25">
      <c r="A32" s="137"/>
      <c r="B32" s="138"/>
      <c r="C32" s="139"/>
      <c r="D32" s="139"/>
      <c r="E32" s="139"/>
      <c r="F32" s="139"/>
      <c r="G32" s="139"/>
      <c r="H32" s="139"/>
      <c r="I32" s="138"/>
      <c r="J32" s="139"/>
      <c r="K32" s="151" t="s">
        <v>98</v>
      </c>
      <c r="L32" s="116"/>
      <c r="M32" s="116"/>
      <c r="N32" s="116"/>
      <c r="O32" s="8"/>
      <c r="P32" s="9"/>
    </row>
    <row r="33" spans="1:16" ht="15" customHeight="1" x14ac:dyDescent="0.2">
      <c r="A33" s="21">
        <v>29</v>
      </c>
      <c r="B33" s="96" t="s">
        <v>91</v>
      </c>
      <c r="C33" s="91" t="str">
        <f>IF(Team1!C26="","",Team1!C26)</f>
        <v>Robyn Little</v>
      </c>
      <c r="D33" s="91" t="str">
        <f>IF(Team1!D26="","",Team1!D26)</f>
        <v>Olivia Jenkinson</v>
      </c>
      <c r="E33" s="103"/>
      <c r="F33" s="103"/>
      <c r="G33" s="103"/>
      <c r="H33" s="21">
        <v>30</v>
      </c>
      <c r="I33" s="96" t="s">
        <v>70</v>
      </c>
      <c r="J33" s="91" t="str">
        <f>IF(Team1!G26="","",Team1!G26)</f>
        <v xml:space="preserve">Campbell Smyth </v>
      </c>
      <c r="K33" s="91" t="str">
        <f>IF(Team1!H26="","",Team1!H26)</f>
        <v>Lewis Hawe</v>
      </c>
      <c r="L33" s="103"/>
      <c r="M33" s="103"/>
      <c r="N33" s="103"/>
      <c r="O33" s="8"/>
      <c r="P33" s="9"/>
    </row>
    <row r="34" spans="1:16" ht="15" customHeight="1" x14ac:dyDescent="0.2">
      <c r="A34" s="22">
        <v>31</v>
      </c>
      <c r="B34" s="97" t="s">
        <v>92</v>
      </c>
      <c r="C34" s="92" t="str">
        <f>IF(Team1!C27="","",Team1!C27)</f>
        <v>Rose McKenna</v>
      </c>
      <c r="D34" s="92" t="str">
        <f>IF(Team1!D27="","",Team1!D27)</f>
        <v>Erin Isley</v>
      </c>
      <c r="E34" s="101"/>
      <c r="F34" s="101"/>
      <c r="G34" s="101"/>
      <c r="H34" s="22">
        <v>32</v>
      </c>
      <c r="I34" s="97" t="s">
        <v>71</v>
      </c>
      <c r="J34" s="20" t="str">
        <f>IF(Team1!G27="","",Team1!G27)</f>
        <v>James Hegarty</v>
      </c>
      <c r="K34" s="92" t="str">
        <f>IF(Team1!H27="","",Team1!H27)</f>
        <v>Noah McClelland</v>
      </c>
      <c r="L34" s="101"/>
      <c r="M34" s="101"/>
      <c r="N34" s="101"/>
      <c r="O34" s="8"/>
      <c r="P34" s="9"/>
    </row>
    <row r="35" spans="1:16" ht="15" customHeight="1" x14ac:dyDescent="0.2">
      <c r="A35" s="22">
        <v>33</v>
      </c>
      <c r="B35" s="97" t="s">
        <v>93</v>
      </c>
      <c r="C35" s="92" t="str">
        <f>IF(Team1!C28="","",Team1!C28)</f>
        <v>Eida Greene</v>
      </c>
      <c r="D35" s="92" t="str">
        <f>IF(Team1!D28="","",Team1!D28)</f>
        <v>Lily Jones</v>
      </c>
      <c r="E35" s="101"/>
      <c r="F35" s="101"/>
      <c r="G35" s="101"/>
      <c r="H35" s="22">
        <v>34</v>
      </c>
      <c r="I35" s="97" t="s">
        <v>72</v>
      </c>
      <c r="J35" s="92" t="str">
        <f>IF(Team1!G28="","",Team1!G28)</f>
        <v>Daniel Eakin</v>
      </c>
      <c r="K35" s="92" t="str">
        <f>IF(Team1!H28="","",Team1!H28)</f>
        <v>Kioni Little</v>
      </c>
      <c r="L35" s="101"/>
      <c r="M35" s="101"/>
      <c r="N35" s="101"/>
      <c r="O35" s="8"/>
      <c r="P35" s="9"/>
    </row>
    <row r="36" spans="1:16" ht="15.95" customHeight="1" thickBot="1" x14ac:dyDescent="0.25">
      <c r="A36" s="23">
        <v>35</v>
      </c>
      <c r="B36" s="98" t="s">
        <v>94</v>
      </c>
      <c r="C36" s="93" t="str">
        <f>IF(Team1!C29="","",Team1!C29)</f>
        <v>Emma Price</v>
      </c>
      <c r="D36" s="93" t="str">
        <f>IF(Team1!D29="","",Team1!D29)</f>
        <v>Isla McClelland</v>
      </c>
      <c r="E36" s="102"/>
      <c r="F36" s="102"/>
      <c r="G36" s="102"/>
      <c r="H36" s="23">
        <v>36</v>
      </c>
      <c r="I36" s="98" t="s">
        <v>73</v>
      </c>
      <c r="J36" s="93" t="str">
        <f>IF(Team1!G29="","",Team1!G29)</f>
        <v>Fionnan Duffin</v>
      </c>
      <c r="K36" s="93" t="str">
        <f>IF(Team1!H29="","",Team1!H29)</f>
        <v>Isaac Duddy</v>
      </c>
      <c r="L36" s="102"/>
      <c r="M36" s="102"/>
      <c r="N36" s="102"/>
      <c r="O36" s="8"/>
      <c r="P36" s="9"/>
    </row>
    <row r="37" spans="1:16" ht="15.95" customHeight="1" thickBot="1" x14ac:dyDescent="0.25">
      <c r="A37" s="163"/>
      <c r="B37" s="164"/>
      <c r="C37" s="165"/>
      <c r="D37" s="169" t="s">
        <v>117</v>
      </c>
      <c r="E37" s="166"/>
      <c r="F37" s="166"/>
      <c r="G37" s="166"/>
      <c r="H37" s="167"/>
      <c r="I37" s="164"/>
      <c r="J37" s="165"/>
      <c r="K37" s="169" t="s">
        <v>116</v>
      </c>
      <c r="L37" s="166"/>
      <c r="M37" s="166"/>
      <c r="N37" s="166"/>
      <c r="O37" s="8"/>
      <c r="P37" s="9"/>
    </row>
    <row r="38" spans="1:16" ht="15.95" customHeight="1" thickBot="1" x14ac:dyDescent="0.25">
      <c r="A38" s="137"/>
      <c r="B38" s="138"/>
      <c r="C38" s="139"/>
      <c r="D38" s="139"/>
      <c r="E38" s="139"/>
      <c r="F38" s="139"/>
      <c r="G38" s="139"/>
      <c r="H38" s="139"/>
      <c r="I38" s="138"/>
      <c r="J38" s="139"/>
      <c r="K38" s="151" t="s">
        <v>99</v>
      </c>
      <c r="L38" s="116"/>
      <c r="M38" s="116"/>
      <c r="N38" s="116"/>
      <c r="O38" s="8"/>
      <c r="P38" s="9"/>
    </row>
    <row r="39" spans="1:16" ht="15" customHeight="1" x14ac:dyDescent="0.2">
      <c r="A39" s="252">
        <v>37</v>
      </c>
      <c r="B39" s="246" t="s">
        <v>9</v>
      </c>
      <c r="C39" s="104" t="str">
        <f>IF(Team1!C30="","",Team1!C30)</f>
        <v>Alice Boyle</v>
      </c>
      <c r="D39" s="91" t="str">
        <f>IF(Team1!D30="","",Team1!D30)</f>
        <v>Robyn Little</v>
      </c>
      <c r="E39" s="117"/>
      <c r="F39" s="117"/>
      <c r="G39" s="117"/>
      <c r="H39" s="252">
        <v>38</v>
      </c>
      <c r="I39" s="246" t="s">
        <v>10</v>
      </c>
      <c r="J39" s="19" t="str">
        <f>IF(Team1!G30="","",Team1!G30)</f>
        <v>Reuben Turbitt</v>
      </c>
      <c r="K39" s="91" t="str">
        <f>IF(Team1!H30="","",Team1!H30)</f>
        <v>Erin Isley</v>
      </c>
      <c r="L39" s="117"/>
      <c r="M39" s="117"/>
      <c r="N39" s="117"/>
      <c r="O39" s="8"/>
      <c r="P39" s="9"/>
    </row>
    <row r="40" spans="1:16" ht="15" customHeight="1" x14ac:dyDescent="0.2">
      <c r="A40" s="253"/>
      <c r="B40" s="247"/>
      <c r="C40" s="129" t="str">
        <f>IF(Team1!C31="","",Team1!C31)</f>
        <v>Alfie Grocott</v>
      </c>
      <c r="D40" s="127" t="str">
        <f>IF(Team1!D31="","",Team1!D31)</f>
        <v>Lewis Hawe</v>
      </c>
      <c r="E40" s="116"/>
      <c r="F40" s="116"/>
      <c r="G40" s="116"/>
      <c r="H40" s="253"/>
      <c r="I40" s="247"/>
      <c r="J40" s="121" t="str">
        <f>IF(Team1!G31="","",Team1!G31)</f>
        <v>Dara Cassidy</v>
      </c>
      <c r="K40" s="127" t="str">
        <f>IF(Team1!H31="","",Team1!H31)</f>
        <v>James Hegarty</v>
      </c>
      <c r="L40" s="116"/>
      <c r="M40" s="116"/>
      <c r="N40" s="116"/>
      <c r="O40" s="8"/>
      <c r="P40" s="9"/>
    </row>
    <row r="41" spans="1:16" ht="15" customHeight="1" x14ac:dyDescent="0.2">
      <c r="A41" s="253"/>
      <c r="B41" s="247"/>
      <c r="C41" s="105" t="str">
        <f>IF(Team1!C32="","",Team1!C32)</f>
        <v>Humphry Spence</v>
      </c>
      <c r="D41" s="92" t="str">
        <f>IF(Team1!D32="","",Team1!D32)</f>
        <v>Campbell Smyth</v>
      </c>
      <c r="E41" s="116"/>
      <c r="F41" s="116"/>
      <c r="G41" s="116"/>
      <c r="H41" s="253"/>
      <c r="I41" s="247"/>
      <c r="J41" s="20" t="str">
        <f>IF(Team1!G32="","",Team1!G32)</f>
        <v>Olivia Higgins</v>
      </c>
      <c r="K41" s="92" t="str">
        <f>IF(Team1!H32="","",Team1!H32)</f>
        <v>Rose McKenna</v>
      </c>
      <c r="L41" s="116"/>
      <c r="M41" s="116"/>
      <c r="N41" s="116"/>
      <c r="O41" s="8"/>
      <c r="P41" s="9"/>
    </row>
    <row r="42" spans="1:16" ht="15.95" customHeight="1" thickBot="1" x14ac:dyDescent="0.25">
      <c r="A42" s="254"/>
      <c r="B42" s="248"/>
      <c r="C42" s="130" t="str">
        <f>IF(Team1!C33="","",Team1!C33)</f>
        <v>Sarah Campbell</v>
      </c>
      <c r="D42" s="128" t="str">
        <f>IF(Team1!D33="","",Team1!D33)</f>
        <v>Olivia Jenkinson</v>
      </c>
      <c r="E42" s="118"/>
      <c r="F42" s="118"/>
      <c r="G42" s="118"/>
      <c r="H42" s="254"/>
      <c r="I42" s="248"/>
      <c r="J42" s="123" t="str">
        <f>IF(Team1!G33="","",Team1!G33)</f>
        <v>Eva Marran</v>
      </c>
      <c r="K42" s="128" t="str">
        <f>IF(Team1!H33="","",Team1!H33)</f>
        <v>Noah McClelland</v>
      </c>
      <c r="L42" s="118"/>
      <c r="M42" s="118"/>
      <c r="N42" s="118"/>
      <c r="O42" s="8"/>
      <c r="P42" s="9"/>
    </row>
    <row r="43" spans="1:16" ht="15" customHeight="1" x14ac:dyDescent="0.2">
      <c r="A43" s="252">
        <v>39</v>
      </c>
      <c r="B43" s="246" t="s">
        <v>11</v>
      </c>
      <c r="C43" s="91" t="str">
        <f>IF(Team1!C34="","",Team1!C34)</f>
        <v>Lily Jones</v>
      </c>
      <c r="D43" s="91" t="str">
        <f>IF(Team1!D34="","",Team1!D34)</f>
        <v xml:space="preserve">Daniel Eakin </v>
      </c>
      <c r="E43" s="117"/>
      <c r="F43" s="117"/>
      <c r="G43" s="117"/>
      <c r="H43" s="252">
        <v>40</v>
      </c>
      <c r="I43" s="246" t="s">
        <v>12</v>
      </c>
      <c r="J43" s="19" t="str">
        <f>IF(Team1!G34="","",Team1!G34)</f>
        <v>Kitty McClarty</v>
      </c>
      <c r="K43" s="91" t="str">
        <f>IF(Team1!H34="","",Team1!H34)</f>
        <v>Emma Price</v>
      </c>
      <c r="L43" s="117"/>
      <c r="M43" s="117"/>
      <c r="N43" s="117"/>
      <c r="O43" s="8"/>
      <c r="P43" s="9"/>
    </row>
    <row r="44" spans="1:16" ht="15" customHeight="1" x14ac:dyDescent="0.2">
      <c r="A44" s="253"/>
      <c r="B44" s="247"/>
      <c r="C44" s="132" t="str">
        <f>IF(Team1!C35="","",Team1!C35)</f>
        <v>Cameron Kennedy-Farr</v>
      </c>
      <c r="D44" s="132" t="str">
        <f>IF(Team1!D35="","",Team1!D35)</f>
        <v>Eida Greene</v>
      </c>
      <c r="E44" s="116"/>
      <c r="F44" s="116"/>
      <c r="G44" s="116"/>
      <c r="H44" s="253"/>
      <c r="I44" s="247"/>
      <c r="J44" s="135" t="str">
        <f>IF(Team1!G35="","",Team1!G35)</f>
        <v>Joshua Hawe</v>
      </c>
      <c r="K44" s="132" t="str">
        <f>IF(Team1!H35="","",Team1!H35)</f>
        <v>Fionnan Duffin</v>
      </c>
      <c r="L44" s="116"/>
      <c r="M44" s="116"/>
      <c r="N44" s="116"/>
      <c r="O44" s="8"/>
      <c r="P44" s="9"/>
    </row>
    <row r="45" spans="1:16" ht="15" customHeight="1" x14ac:dyDescent="0.2">
      <c r="A45" s="253"/>
      <c r="B45" s="247"/>
      <c r="C45" s="92" t="str">
        <f>IF(Team1!C36="","",Team1!C36)</f>
        <v>Nathan Elliott</v>
      </c>
      <c r="D45" s="92" t="str">
        <f>IF(Team1!D36="","",Team1!D36)</f>
        <v>Riona Cassidy</v>
      </c>
      <c r="E45" s="116"/>
      <c r="F45" s="116"/>
      <c r="G45" s="116"/>
      <c r="H45" s="253"/>
      <c r="I45" s="247"/>
      <c r="J45" s="20" t="str">
        <f>IF(Team1!G36="","",Team1!G36)</f>
        <v>Ethan Turbitt</v>
      </c>
      <c r="K45" s="92" t="str">
        <f>IF(Team1!H36="","",Team1!H36)</f>
        <v>Isaac Duddy</v>
      </c>
      <c r="L45" s="116"/>
      <c r="M45" s="116"/>
      <c r="N45" s="116"/>
      <c r="O45" s="8"/>
      <c r="P45" s="9"/>
    </row>
    <row r="46" spans="1:16" ht="15.95" customHeight="1" thickBot="1" x14ac:dyDescent="0.25">
      <c r="A46" s="254"/>
      <c r="B46" s="248"/>
      <c r="C46" s="134" t="str">
        <f>IF(Team1!C37="","",Team1!C37)</f>
        <v>Chloe-May Callaghan</v>
      </c>
      <c r="D46" s="134" t="str">
        <f>IF(Team1!D37="","",Team1!D37)</f>
        <v>Kioni Little</v>
      </c>
      <c r="E46" s="118"/>
      <c r="F46" s="118"/>
      <c r="G46" s="118"/>
      <c r="H46" s="254"/>
      <c r="I46" s="248"/>
      <c r="J46" s="136" t="str">
        <f>IF(Team1!G37="","",Team1!G37)</f>
        <v>Lauren Murray</v>
      </c>
      <c r="K46" s="134" t="str">
        <f>IF(Team1!H37="","",Team1!H37)</f>
        <v>Isla McClelland</v>
      </c>
      <c r="L46" s="118"/>
      <c r="M46" s="118"/>
      <c r="N46" s="118"/>
      <c r="O46" s="8"/>
      <c r="P46" s="9"/>
    </row>
    <row r="47" spans="1:16" ht="15.95" customHeight="1" thickBot="1" x14ac:dyDescent="0.25">
      <c r="A47" s="137"/>
      <c r="B47" s="138"/>
      <c r="C47" s="139"/>
      <c r="D47" s="139"/>
      <c r="E47" s="139"/>
      <c r="F47" s="139"/>
      <c r="G47" s="139"/>
      <c r="H47" s="139"/>
      <c r="I47" s="138"/>
      <c r="J47" s="139"/>
      <c r="K47" s="142" t="s">
        <v>40</v>
      </c>
      <c r="L47" s="140"/>
      <c r="M47" s="140"/>
      <c r="N47" s="141"/>
      <c r="O47" s="8"/>
      <c r="P47" s="9"/>
    </row>
    <row r="48" spans="1:16" ht="12" customHeight="1" x14ac:dyDescent="0.2">
      <c r="A48" s="25"/>
      <c r="B48" s="26"/>
      <c r="C48" s="26"/>
      <c r="D48" s="27"/>
      <c r="E48" s="26"/>
      <c r="F48" s="26"/>
      <c r="G48" s="26"/>
      <c r="H48" s="26"/>
      <c r="I48" s="26"/>
      <c r="J48" s="26"/>
      <c r="K48" s="26"/>
      <c r="L48" s="28"/>
      <c r="M48" s="28"/>
      <c r="N48" s="28"/>
      <c r="O48" s="28"/>
      <c r="P48" s="9"/>
    </row>
    <row r="49" spans="1:16" ht="12" customHeight="1" x14ac:dyDescent="0.2">
      <c r="A49" s="29"/>
      <c r="B49" s="28"/>
      <c r="C49" s="28"/>
      <c r="D49" s="30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9"/>
    </row>
    <row r="50" spans="1:16" ht="12" customHeight="1" x14ac:dyDescent="0.2">
      <c r="A50" s="29"/>
      <c r="B50" s="28"/>
      <c r="C50" s="31"/>
      <c r="D50" s="30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9"/>
    </row>
    <row r="51" spans="1:16" ht="12" customHeight="1" x14ac:dyDescent="0.2">
      <c r="A51" s="29"/>
      <c r="B51" s="28"/>
      <c r="C51" s="31"/>
      <c r="D51" s="30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9"/>
    </row>
    <row r="52" spans="1:16" ht="12" customHeight="1" x14ac:dyDescent="0.2">
      <c r="A52" s="29"/>
      <c r="B52" s="28"/>
      <c r="C52" s="31"/>
      <c r="D52" s="30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9"/>
    </row>
    <row r="53" spans="1:16" ht="12" customHeight="1" x14ac:dyDescent="0.2">
      <c r="A53" s="29"/>
      <c r="B53" s="28"/>
      <c r="C53" s="31"/>
      <c r="D53" s="30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9"/>
    </row>
    <row r="54" spans="1:16" ht="12" customHeight="1" x14ac:dyDescent="0.2">
      <c r="A54" s="29"/>
      <c r="B54" s="28"/>
      <c r="C54" s="31"/>
      <c r="D54" s="30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9"/>
    </row>
    <row r="55" spans="1:16" ht="12" customHeight="1" x14ac:dyDescent="0.2">
      <c r="A55" s="32"/>
      <c r="B55" s="33"/>
      <c r="C55" s="34"/>
      <c r="D55" s="35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6"/>
    </row>
  </sheetData>
  <mergeCells count="18">
    <mergeCell ref="A2:N2"/>
    <mergeCell ref="C4:D4"/>
    <mergeCell ref="A6:A9"/>
    <mergeCell ref="B6:B9"/>
    <mergeCell ref="H6:H9"/>
    <mergeCell ref="I6:I9"/>
    <mergeCell ref="A43:A46"/>
    <mergeCell ref="B43:B46"/>
    <mergeCell ref="H43:H46"/>
    <mergeCell ref="I43:I46"/>
    <mergeCell ref="A10:A13"/>
    <mergeCell ref="B10:B13"/>
    <mergeCell ref="H10:H13"/>
    <mergeCell ref="I10:I13"/>
    <mergeCell ref="A39:A42"/>
    <mergeCell ref="B39:B42"/>
    <mergeCell ref="H39:H42"/>
    <mergeCell ref="I39:I42"/>
  </mergeCells>
  <conditionalFormatting sqref="C4 J4">
    <cfRule type="cellIs" dxfId="2" priority="1" stopIfTrue="1" operator="equal">
      <formula>"Lurgan"</formula>
    </cfRule>
  </conditionalFormatting>
  <pageMargins left="0" right="0" top="0" bottom="0" header="0" footer="0"/>
  <pageSetup paperSize="9" scale="82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IZ55"/>
  <sheetViews>
    <sheetView showGridLines="0" zoomScale="90" zoomScaleNormal="90" workbookViewId="0">
      <selection activeCell="K5" sqref="K5"/>
    </sheetView>
  </sheetViews>
  <sheetFormatPr defaultColWidth="6.59765625" defaultRowHeight="12" customHeight="1" x14ac:dyDescent="0.2"/>
  <cols>
    <col min="1" max="1" width="3" style="90" customWidth="1"/>
    <col min="2" max="2" width="12.796875" style="90" customWidth="1"/>
    <col min="3" max="4" width="16" style="90" customWidth="1"/>
    <col min="5" max="7" width="5.09765625" style="90" customWidth="1"/>
    <col min="8" max="8" width="3" style="90" customWidth="1"/>
    <col min="9" max="9" width="12.796875" style="90" customWidth="1"/>
    <col min="10" max="11" width="16" style="90" customWidth="1"/>
    <col min="12" max="14" width="5.09765625" style="90" customWidth="1"/>
    <col min="15" max="15" width="0.59765625" style="90" customWidth="1"/>
    <col min="16" max="16" width="22.3984375" style="90" customWidth="1"/>
    <col min="17" max="260" width="6.59765625" style="90" customWidth="1"/>
  </cols>
  <sheetData>
    <row r="1" spans="1:16" ht="12" customHeight="1" x14ac:dyDescent="0.2">
      <c r="A1" s="2"/>
      <c r="B1" s="3"/>
      <c r="C1" s="3"/>
      <c r="D1" s="4"/>
      <c r="E1" s="3"/>
      <c r="F1" s="3"/>
      <c r="G1" s="3"/>
      <c r="H1" s="3"/>
      <c r="I1" s="3"/>
      <c r="J1" s="3"/>
      <c r="K1" s="3"/>
      <c r="L1" s="94"/>
      <c r="M1" s="157"/>
      <c r="N1" s="94"/>
      <c r="O1" s="6"/>
      <c r="P1" s="7"/>
    </row>
    <row r="2" spans="1:16" ht="15.75" x14ac:dyDescent="0.25">
      <c r="A2" s="259" t="s">
        <v>144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60"/>
      <c r="O2" s="8"/>
      <c r="P2" s="9"/>
    </row>
    <row r="3" spans="1:16" ht="15" customHeight="1" thickBot="1" x14ac:dyDescent="0.25">
      <c r="A3" s="10"/>
      <c r="B3" s="11"/>
      <c r="C3" s="12"/>
      <c r="D3" s="13"/>
      <c r="E3" s="12"/>
      <c r="F3" s="12"/>
      <c r="G3" s="12"/>
      <c r="H3" s="12"/>
      <c r="I3" s="12"/>
      <c r="J3" s="12"/>
      <c r="K3" s="12"/>
      <c r="L3" s="94"/>
      <c r="M3" s="157"/>
      <c r="N3" s="94"/>
      <c r="O3" s="8"/>
      <c r="P3" s="9"/>
    </row>
    <row r="4" spans="1:16" ht="15.95" customHeight="1" thickBot="1" x14ac:dyDescent="0.25">
      <c r="A4" s="14" t="s">
        <v>122</v>
      </c>
      <c r="B4" s="15"/>
      <c r="C4" s="261" t="str">
        <f>IF(Team2!C4="","",Team2!C4)</f>
        <v>Lisburn</v>
      </c>
      <c r="D4" s="262"/>
      <c r="E4" s="119"/>
      <c r="F4" s="119"/>
      <c r="G4" s="119"/>
      <c r="H4" s="16" t="str">
        <f>A4</f>
        <v>Team 2:</v>
      </c>
      <c r="I4" s="15"/>
      <c r="J4" s="16"/>
      <c r="K4" s="15"/>
      <c r="L4" s="15"/>
      <c r="M4" s="15"/>
      <c r="N4" s="17"/>
      <c r="O4" s="8"/>
      <c r="P4" s="9"/>
    </row>
    <row r="5" spans="1:16" ht="15.95" customHeight="1" thickBot="1" x14ac:dyDescent="0.25">
      <c r="A5" s="99" t="s">
        <v>74</v>
      </c>
      <c r="B5" s="18" t="s">
        <v>1</v>
      </c>
      <c r="C5" s="18" t="s">
        <v>3</v>
      </c>
      <c r="D5" s="18" t="s">
        <v>204</v>
      </c>
      <c r="E5" s="170" t="s">
        <v>119</v>
      </c>
      <c r="F5" s="170" t="s">
        <v>120</v>
      </c>
      <c r="G5" s="170" t="s">
        <v>121</v>
      </c>
      <c r="H5" s="100" t="s">
        <v>74</v>
      </c>
      <c r="I5" s="18" t="s">
        <v>1</v>
      </c>
      <c r="J5" s="18" t="s">
        <v>3</v>
      </c>
      <c r="K5" s="18" t="s">
        <v>204</v>
      </c>
      <c r="L5" s="170" t="s">
        <v>119</v>
      </c>
      <c r="M5" s="170" t="s">
        <v>120</v>
      </c>
      <c r="N5" s="170" t="s">
        <v>121</v>
      </c>
      <c r="O5" s="8"/>
      <c r="P5" s="9"/>
    </row>
    <row r="6" spans="1:16" ht="15" customHeight="1" x14ac:dyDescent="0.2">
      <c r="A6" s="252">
        <v>1</v>
      </c>
      <c r="B6" s="246" t="s">
        <v>5</v>
      </c>
      <c r="C6" s="91" t="str">
        <f>IF(Team2!C6="","",Team2!C6)</f>
        <v>Meave Murphy</v>
      </c>
      <c r="D6" s="91" t="str">
        <f>IF(Team2!D6="","",Team2!D6)</f>
        <v/>
      </c>
      <c r="E6" s="116"/>
      <c r="F6" s="116"/>
      <c r="G6" s="116"/>
      <c r="H6" s="252">
        <v>2</v>
      </c>
      <c r="I6" s="246" t="s">
        <v>6</v>
      </c>
      <c r="J6" s="91" t="str">
        <f>IF(Team2!G6="","",Team2!G6)</f>
        <v>Luke Coleman</v>
      </c>
      <c r="K6" s="91" t="str">
        <f>IF(Team2!H6="","",Team2!H6)</f>
        <v/>
      </c>
      <c r="L6" s="117"/>
      <c r="M6" s="117"/>
      <c r="N6" s="117"/>
      <c r="O6" s="8"/>
      <c r="P6" s="9"/>
    </row>
    <row r="7" spans="1:16" ht="15" customHeight="1" x14ac:dyDescent="0.2">
      <c r="A7" s="253"/>
      <c r="B7" s="247"/>
      <c r="C7" s="127" t="str">
        <f>IF(Team2!C7="","",Team2!C7)</f>
        <v>Ross Gray</v>
      </c>
      <c r="D7" s="127" t="str">
        <f>IF(Team2!D7="","",Team2!D7)</f>
        <v/>
      </c>
      <c r="E7" s="116"/>
      <c r="F7" s="116"/>
      <c r="G7" s="116"/>
      <c r="H7" s="253"/>
      <c r="I7" s="247"/>
      <c r="J7" s="127" t="str">
        <f>IF(Team2!G7="","",Team2!G7)</f>
        <v>Zara Hopkins</v>
      </c>
      <c r="K7" s="127" t="str">
        <f>IF(Team2!H7="","",Team2!H7)</f>
        <v/>
      </c>
      <c r="L7" s="116"/>
      <c r="M7" s="116"/>
      <c r="N7" s="116"/>
      <c r="O7" s="8"/>
      <c r="P7" s="9"/>
    </row>
    <row r="8" spans="1:16" ht="15" customHeight="1" x14ac:dyDescent="0.2">
      <c r="A8" s="253"/>
      <c r="B8" s="247"/>
      <c r="C8" s="92" t="str">
        <f>IF(Team2!C8="","",Team2!C8)</f>
        <v>Harry McGlashen</v>
      </c>
      <c r="D8" s="92" t="str">
        <f>IF(Team2!D8="","",Team2!D8)</f>
        <v/>
      </c>
      <c r="E8" s="116"/>
      <c r="F8" s="116"/>
      <c r="G8" s="116"/>
      <c r="H8" s="253"/>
      <c r="I8" s="247"/>
      <c r="J8" s="92" t="str">
        <f>IF(Team2!G8="","",Team2!G8)</f>
        <v>Poppy Jeffers</v>
      </c>
      <c r="K8" s="92" t="str">
        <f>IF(Team2!H8="","",Team2!H8)</f>
        <v/>
      </c>
      <c r="L8" s="116"/>
      <c r="M8" s="116"/>
      <c r="N8" s="116"/>
      <c r="O8" s="8"/>
      <c r="P8" s="9"/>
    </row>
    <row r="9" spans="1:16" ht="15.95" customHeight="1" thickBot="1" x14ac:dyDescent="0.25">
      <c r="A9" s="254"/>
      <c r="B9" s="248"/>
      <c r="C9" s="128" t="str">
        <f>IF(Team2!C9="","",Team2!C9)</f>
        <v>Amelia Stone</v>
      </c>
      <c r="D9" s="128" t="str">
        <f>IF(Team2!D9="","",Team2!D9)</f>
        <v/>
      </c>
      <c r="E9" s="118"/>
      <c r="F9" s="118"/>
      <c r="G9" s="118"/>
      <c r="H9" s="254"/>
      <c r="I9" s="248"/>
      <c r="J9" s="128" t="str">
        <f>IF(Team2!G9="","",Team2!G9)</f>
        <v xml:space="preserve">Charlie Williamson </v>
      </c>
      <c r="K9" s="128" t="str">
        <f>IF(Team2!H9="","",Team2!H9)</f>
        <v/>
      </c>
      <c r="L9" s="118"/>
      <c r="M9" s="118"/>
      <c r="N9" s="118"/>
      <c r="O9" s="8"/>
      <c r="P9" s="9"/>
    </row>
    <row r="10" spans="1:16" ht="15" customHeight="1" x14ac:dyDescent="0.2">
      <c r="A10" s="252">
        <v>3</v>
      </c>
      <c r="B10" s="246" t="s">
        <v>7</v>
      </c>
      <c r="C10" s="104" t="str">
        <f>IF(Team2!C10="","",Team2!C10)</f>
        <v>Sinead McQuillan</v>
      </c>
      <c r="D10" s="91" t="str">
        <f>IF(Team2!D10="","",Team2!D10)</f>
        <v/>
      </c>
      <c r="E10" s="117"/>
      <c r="F10" s="117"/>
      <c r="G10" s="117"/>
      <c r="H10" s="252">
        <v>4</v>
      </c>
      <c r="I10" s="246" t="s">
        <v>8</v>
      </c>
      <c r="J10" s="91" t="str">
        <f>IF(Team2!G10="","",Team2!G10)</f>
        <v>Alfie Shawe</v>
      </c>
      <c r="K10" s="91" t="str">
        <f>IF(Team2!H10="","",Team2!H10)</f>
        <v/>
      </c>
      <c r="L10" s="117"/>
      <c r="M10" s="117"/>
      <c r="N10" s="117"/>
      <c r="O10" s="8"/>
      <c r="P10" s="9"/>
    </row>
    <row r="11" spans="1:16" ht="15" customHeight="1" x14ac:dyDescent="0.2">
      <c r="A11" s="253"/>
      <c r="B11" s="247"/>
      <c r="C11" s="131" t="str">
        <f>IF(Team2!C11="","",Team2!C11)</f>
        <v>Cillan Hall</v>
      </c>
      <c r="D11" s="132" t="str">
        <f>IF(Team2!D11="","",Team2!D11)</f>
        <v/>
      </c>
      <c r="E11" s="116"/>
      <c r="F11" s="116"/>
      <c r="G11" s="116"/>
      <c r="H11" s="253"/>
      <c r="I11" s="247"/>
      <c r="J11" s="132" t="str">
        <f>IF(Team2!G11="","",Team2!G11)</f>
        <v>Tom Keys</v>
      </c>
      <c r="K11" s="132" t="str">
        <f>IF(Team2!H11="","",Team2!H11)</f>
        <v/>
      </c>
      <c r="L11" s="116"/>
      <c r="M11" s="116"/>
      <c r="N11" s="116"/>
      <c r="O11" s="8"/>
      <c r="P11" s="9"/>
    </row>
    <row r="12" spans="1:16" ht="15" customHeight="1" x14ac:dyDescent="0.2">
      <c r="A12" s="253"/>
      <c r="B12" s="247"/>
      <c r="C12" s="105" t="str">
        <f>IF(Team2!C12="","",Team2!C12)</f>
        <v>Ben Bickerstaffe</v>
      </c>
      <c r="D12" s="92" t="str">
        <f>IF(Team2!D12="","",Team2!D12)</f>
        <v/>
      </c>
      <c r="E12" s="116"/>
      <c r="F12" s="116"/>
      <c r="G12" s="116"/>
      <c r="H12" s="253"/>
      <c r="I12" s="247"/>
      <c r="J12" s="92" t="str">
        <f>IF(Team2!G12="","",Team2!G12)</f>
        <v>Emily Coleman</v>
      </c>
      <c r="K12" s="92" t="str">
        <f>IF(Team2!H12="","",Team2!H12)</f>
        <v/>
      </c>
      <c r="L12" s="116"/>
      <c r="M12" s="116"/>
      <c r="N12" s="116"/>
      <c r="O12" s="8"/>
      <c r="P12" s="9"/>
    </row>
    <row r="13" spans="1:16" ht="15.95" customHeight="1" thickBot="1" x14ac:dyDescent="0.25">
      <c r="A13" s="254"/>
      <c r="B13" s="248"/>
      <c r="C13" s="133" t="str">
        <f>IF(Team2!C13="","",Team2!C13)</f>
        <v>Evie Lowry</v>
      </c>
      <c r="D13" s="134" t="str">
        <f>IF(Team2!D13="","",Team2!D13)</f>
        <v/>
      </c>
      <c r="E13" s="118"/>
      <c r="F13" s="118"/>
      <c r="G13" s="118"/>
      <c r="H13" s="254"/>
      <c r="I13" s="248"/>
      <c r="J13" s="134" t="str">
        <f>IF(Team2!G13="","",Team2!G13)</f>
        <v xml:space="preserve">Isobel Lamont </v>
      </c>
      <c r="K13" s="134" t="str">
        <f>IF(Team2!H13="","",Team2!H13)</f>
        <v/>
      </c>
      <c r="L13" s="118"/>
      <c r="M13" s="118"/>
      <c r="N13" s="118"/>
      <c r="O13" s="8"/>
      <c r="P13" s="9"/>
    </row>
    <row r="14" spans="1:16" ht="15.95" customHeight="1" thickBot="1" x14ac:dyDescent="0.25">
      <c r="A14" s="137"/>
      <c r="B14" s="138"/>
      <c r="C14" s="139"/>
      <c r="D14" s="139"/>
      <c r="E14" s="139"/>
      <c r="F14" s="139"/>
      <c r="G14" s="139"/>
      <c r="H14" s="139"/>
      <c r="I14" s="138"/>
      <c r="J14" s="139"/>
      <c r="K14" s="151" t="s">
        <v>95</v>
      </c>
      <c r="L14" s="116"/>
      <c r="M14" s="116"/>
      <c r="N14" s="116"/>
      <c r="O14" s="8"/>
      <c r="P14" s="9"/>
    </row>
    <row r="15" spans="1:16" ht="15" customHeight="1" x14ac:dyDescent="0.2">
      <c r="A15" s="21">
        <v>5</v>
      </c>
      <c r="B15" s="96" t="s">
        <v>83</v>
      </c>
      <c r="C15" s="91" t="str">
        <f>IF(Team2!C14="","",Team2!C14)</f>
        <v>Meave Murphy</v>
      </c>
      <c r="D15" s="91" t="str">
        <f>IF(Team2!D14="","",Team2!D14)</f>
        <v>Amelia Stone</v>
      </c>
      <c r="E15" s="103"/>
      <c r="F15" s="103"/>
      <c r="G15" s="103"/>
      <c r="H15" s="21">
        <v>6</v>
      </c>
      <c r="I15" s="96" t="s">
        <v>58</v>
      </c>
      <c r="J15" s="91" t="str">
        <f>IF(Team2!G14="","",Team2!G14)</f>
        <v>Harry McGlashan</v>
      </c>
      <c r="K15" s="91" t="str">
        <f>IF(Team2!H14="","",Team2!H14)</f>
        <v>Ross Gray</v>
      </c>
      <c r="L15" s="103"/>
      <c r="M15" s="103"/>
      <c r="N15" s="103"/>
      <c r="O15" s="8"/>
      <c r="P15" s="9"/>
    </row>
    <row r="16" spans="1:16" ht="15" customHeight="1" x14ac:dyDescent="0.2">
      <c r="A16" s="22">
        <v>7</v>
      </c>
      <c r="B16" s="97" t="s">
        <v>84</v>
      </c>
      <c r="C16" s="92" t="str">
        <f>IF(Team2!C15="","",Team2!C15)</f>
        <v xml:space="preserve">Amelia Hughes </v>
      </c>
      <c r="D16" s="92" t="str">
        <f>IF(Team2!D15="","",Team2!D15)</f>
        <v>Zara Hopkins</v>
      </c>
      <c r="E16" s="101"/>
      <c r="F16" s="101"/>
      <c r="G16" s="101"/>
      <c r="H16" s="22">
        <v>8</v>
      </c>
      <c r="I16" s="97" t="s">
        <v>59</v>
      </c>
      <c r="J16" s="92" t="str">
        <f>IF(Team2!G15="","",Team2!G15)</f>
        <v>Luke Coleman</v>
      </c>
      <c r="K16" s="92" t="str">
        <f>IF(Team2!H15="","",Team2!H15)</f>
        <v xml:space="preserve">Rory Stanley </v>
      </c>
      <c r="L16" s="101"/>
      <c r="M16" s="101"/>
      <c r="N16" s="101"/>
      <c r="O16" s="8"/>
      <c r="P16" s="9"/>
    </row>
    <row r="17" spans="1:16" ht="15" customHeight="1" x14ac:dyDescent="0.2">
      <c r="A17" s="22">
        <v>9</v>
      </c>
      <c r="B17" s="97" t="s">
        <v>85</v>
      </c>
      <c r="C17" s="92" t="str">
        <f>IF(Team2!C16="","",Team2!C16)</f>
        <v>Sinead McQuillan</v>
      </c>
      <c r="D17" s="92" t="str">
        <f>IF(Team2!D16="","",Team2!D16)</f>
        <v>Evie Lowry</v>
      </c>
      <c r="E17" s="101"/>
      <c r="F17" s="101"/>
      <c r="G17" s="101"/>
      <c r="H17" s="22">
        <v>10</v>
      </c>
      <c r="I17" s="97" t="s">
        <v>60</v>
      </c>
      <c r="J17" s="92" t="str">
        <f>IF(Team2!G16="","",Team2!G16)</f>
        <v>Benjamin Bickerstaffe</v>
      </c>
      <c r="K17" s="92" t="str">
        <f>IF(Team2!H16="","",Team2!H16)</f>
        <v>Cillan Hall</v>
      </c>
      <c r="L17" s="101"/>
      <c r="M17" s="101"/>
      <c r="N17" s="101"/>
      <c r="O17" s="8"/>
      <c r="P17" s="9"/>
    </row>
    <row r="18" spans="1:16" ht="15.95" customHeight="1" thickBot="1" x14ac:dyDescent="0.25">
      <c r="A18" s="23">
        <v>11</v>
      </c>
      <c r="B18" s="98" t="s">
        <v>86</v>
      </c>
      <c r="C18" s="93" t="str">
        <f>IF(Team2!C17="","",Team2!C17)</f>
        <v>Emily Coleman</v>
      </c>
      <c r="D18" s="93" t="str">
        <f>IF(Team2!D17="","",Team2!D17)</f>
        <v xml:space="preserve">Niamh Hughes </v>
      </c>
      <c r="E18" s="102"/>
      <c r="F18" s="102"/>
      <c r="G18" s="102"/>
      <c r="H18" s="23">
        <v>12</v>
      </c>
      <c r="I18" s="98" t="s">
        <v>61</v>
      </c>
      <c r="J18" s="93" t="str">
        <f>IF(Team2!G17="","",Team2!G17)</f>
        <v>Alfie Shawe</v>
      </c>
      <c r="K18" s="93" t="str">
        <f>IF(Team2!H17="","",Team2!H17)</f>
        <v xml:space="preserve">Adam Stanley </v>
      </c>
      <c r="L18" s="102"/>
      <c r="M18" s="102"/>
      <c r="N18" s="102"/>
      <c r="O18" s="8"/>
      <c r="P18" s="9"/>
    </row>
    <row r="19" spans="1:16" ht="15.95" customHeight="1" thickBot="1" x14ac:dyDescent="0.25">
      <c r="A19" s="163"/>
      <c r="B19" s="164"/>
      <c r="C19" s="165"/>
      <c r="D19" s="169" t="s">
        <v>103</v>
      </c>
      <c r="E19" s="166"/>
      <c r="F19" s="166"/>
      <c r="G19" s="166"/>
      <c r="H19" s="167"/>
      <c r="I19" s="164"/>
      <c r="J19" s="165"/>
      <c r="K19" s="169" t="s">
        <v>104</v>
      </c>
      <c r="L19" s="166"/>
      <c r="M19" s="166"/>
      <c r="N19" s="166"/>
      <c r="O19" s="8"/>
      <c r="P19" s="9"/>
    </row>
    <row r="20" spans="1:16" ht="15.95" customHeight="1" thickBot="1" x14ac:dyDescent="0.25">
      <c r="A20" s="137"/>
      <c r="B20" s="138"/>
      <c r="C20" s="139"/>
      <c r="D20" s="139"/>
      <c r="E20" s="139"/>
      <c r="F20" s="139"/>
      <c r="G20" s="139"/>
      <c r="H20" s="139"/>
      <c r="I20" s="138"/>
      <c r="J20" s="139"/>
      <c r="K20" s="151" t="s">
        <v>96</v>
      </c>
      <c r="L20" s="116"/>
      <c r="M20" s="116"/>
      <c r="N20" s="116"/>
      <c r="O20" s="8"/>
      <c r="P20" s="9"/>
    </row>
    <row r="21" spans="1:16" ht="15" customHeight="1" x14ac:dyDescent="0.2">
      <c r="A21" s="21">
        <v>13</v>
      </c>
      <c r="B21" s="96" t="s">
        <v>105</v>
      </c>
      <c r="C21" s="91" t="str">
        <f>IF(Team2!C18="","",Team2!C18)</f>
        <v>Amelia Stone</v>
      </c>
      <c r="D21" s="91" t="str">
        <f>IF(Team2!D18="","",Team2!D18)</f>
        <v>Lara Stewart</v>
      </c>
      <c r="E21" s="103"/>
      <c r="F21" s="103"/>
      <c r="G21" s="103"/>
      <c r="H21" s="21">
        <v>14</v>
      </c>
      <c r="I21" s="96" t="s">
        <v>109</v>
      </c>
      <c r="J21" s="91" t="str">
        <f>IF(Team2!G18="","",Team2!G18)</f>
        <v>Harry McGlashan</v>
      </c>
      <c r="K21" s="91" t="str">
        <f>IF(Team2!H18="","",Team2!H18)</f>
        <v>Ross Gray</v>
      </c>
      <c r="L21" s="103"/>
      <c r="M21" s="103"/>
      <c r="N21" s="103"/>
      <c r="O21" s="8"/>
      <c r="P21" s="9"/>
    </row>
    <row r="22" spans="1:16" ht="15" customHeight="1" x14ac:dyDescent="0.2">
      <c r="A22" s="22">
        <v>15</v>
      </c>
      <c r="B22" s="97" t="s">
        <v>106</v>
      </c>
      <c r="C22" s="92" t="str">
        <f>IF(Team2!C19="","",Team2!C19)</f>
        <v>Zara Hopkins</v>
      </c>
      <c r="D22" s="92" t="str">
        <f>IF(Team2!D19="","",Team2!D19)</f>
        <v>Poppy Jeffers</v>
      </c>
      <c r="E22" s="101"/>
      <c r="F22" s="101"/>
      <c r="G22" s="101"/>
      <c r="H22" s="22">
        <v>16</v>
      </c>
      <c r="I22" s="97" t="s">
        <v>110</v>
      </c>
      <c r="J22" s="92" t="str">
        <f>IF(Team2!G19="","",Team2!G19)</f>
        <v xml:space="preserve">Rory Stanley </v>
      </c>
      <c r="K22" s="92" t="str">
        <f>IF(Team2!H19="","",Team2!H19)</f>
        <v xml:space="preserve">Patrick Munce </v>
      </c>
      <c r="L22" s="101"/>
      <c r="M22" s="101"/>
      <c r="N22" s="101"/>
      <c r="O22" s="8"/>
      <c r="P22" s="9"/>
    </row>
    <row r="23" spans="1:16" ht="15" customHeight="1" x14ac:dyDescent="0.2">
      <c r="A23" s="22">
        <v>17</v>
      </c>
      <c r="B23" s="97" t="s">
        <v>107</v>
      </c>
      <c r="C23" s="92" t="str">
        <f>IF(Team2!C20="","",Team2!C20)</f>
        <v xml:space="preserve">Erin McGuigan </v>
      </c>
      <c r="D23" s="92" t="str">
        <f>IF(Team2!D20="","",Team2!D20)</f>
        <v xml:space="preserve">Sinead McQuillan </v>
      </c>
      <c r="E23" s="101"/>
      <c r="F23" s="101"/>
      <c r="G23" s="101"/>
      <c r="H23" s="22">
        <v>18</v>
      </c>
      <c r="I23" s="97" t="s">
        <v>111</v>
      </c>
      <c r="J23" s="92" t="str">
        <f>IF(Team2!G20="","",Team2!G20)</f>
        <v>Benjamin Bickerstaffe</v>
      </c>
      <c r="K23" s="92" t="str">
        <f>IF(Team2!H20="","",Team2!H20)</f>
        <v>Cillan Hall</v>
      </c>
      <c r="L23" s="101"/>
      <c r="M23" s="101"/>
      <c r="N23" s="101"/>
      <c r="O23" s="8"/>
      <c r="P23" s="9"/>
    </row>
    <row r="24" spans="1:16" ht="15.95" customHeight="1" thickBot="1" x14ac:dyDescent="0.25">
      <c r="A24" s="23">
        <v>19</v>
      </c>
      <c r="B24" s="98" t="s">
        <v>108</v>
      </c>
      <c r="C24" s="93" t="str">
        <f>IF(Team2!C21="","",Team2!C21)</f>
        <v>Chrissy Hopkins</v>
      </c>
      <c r="D24" s="93" t="str">
        <f>IF(Team2!D21="","",Team2!D21)</f>
        <v>Annie Poots</v>
      </c>
      <c r="E24" s="102"/>
      <c r="F24" s="102"/>
      <c r="G24" s="102"/>
      <c r="H24" s="23">
        <v>20</v>
      </c>
      <c r="I24" s="98" t="s">
        <v>112</v>
      </c>
      <c r="J24" s="93" t="str">
        <f>IF(Team2!G21="","",Team2!G21)</f>
        <v>Tom Keys</v>
      </c>
      <c r="K24" s="93" t="str">
        <f>IF(Team2!H21="","",Team2!H21)</f>
        <v>Alfie Shawe</v>
      </c>
      <c r="L24" s="102"/>
      <c r="M24" s="102"/>
      <c r="N24" s="102"/>
      <c r="O24" s="8"/>
      <c r="P24" s="9"/>
    </row>
    <row r="25" spans="1:16" ht="15.95" customHeight="1" thickBot="1" x14ac:dyDescent="0.25">
      <c r="A25" s="163"/>
      <c r="B25" s="164"/>
      <c r="C25" s="165"/>
      <c r="D25" s="169" t="s">
        <v>113</v>
      </c>
      <c r="E25" s="166"/>
      <c r="F25" s="166"/>
      <c r="G25" s="166"/>
      <c r="H25" s="167"/>
      <c r="I25" s="164"/>
      <c r="J25" s="165"/>
      <c r="K25" s="169" t="s">
        <v>114</v>
      </c>
      <c r="L25" s="166"/>
      <c r="M25" s="166"/>
      <c r="N25" s="166"/>
      <c r="O25" s="8"/>
      <c r="P25" s="9"/>
    </row>
    <row r="26" spans="1:16" ht="15.95" customHeight="1" thickBot="1" x14ac:dyDescent="0.25">
      <c r="A26" s="137"/>
      <c r="B26" s="138"/>
      <c r="C26" s="139"/>
      <c r="D26" s="139"/>
      <c r="E26" s="139"/>
      <c r="F26" s="139"/>
      <c r="G26" s="139"/>
      <c r="H26" s="139"/>
      <c r="I26" s="138"/>
      <c r="J26" s="139"/>
      <c r="K26" s="151" t="s">
        <v>97</v>
      </c>
      <c r="L26" s="116"/>
      <c r="M26" s="116"/>
      <c r="N26" s="116"/>
      <c r="O26" s="8"/>
      <c r="P26" s="9"/>
    </row>
    <row r="27" spans="1:16" ht="15" customHeight="1" x14ac:dyDescent="0.2">
      <c r="A27" s="21">
        <v>21</v>
      </c>
      <c r="B27" s="96" t="s">
        <v>87</v>
      </c>
      <c r="C27" s="91" t="str">
        <f>IF(Team2!C22="","",Team2!C22)</f>
        <v xml:space="preserve">Tilly Bracken </v>
      </c>
      <c r="D27" s="91" t="str">
        <f>IF(Team2!D22="","",Team2!D22)</f>
        <v>Amelia Stone</v>
      </c>
      <c r="E27" s="103"/>
      <c r="F27" s="103"/>
      <c r="G27" s="103"/>
      <c r="H27" s="21">
        <v>22</v>
      </c>
      <c r="I27" s="96" t="s">
        <v>66</v>
      </c>
      <c r="J27" s="91" t="str">
        <f>IF(Team2!G22="","",Team2!G22)</f>
        <v>Harry McGlashan</v>
      </c>
      <c r="K27" s="91" t="str">
        <f>IF(Team2!H22="","",Team2!H22)</f>
        <v>Ross Gray</v>
      </c>
      <c r="L27" s="103"/>
      <c r="M27" s="103"/>
      <c r="N27" s="103"/>
      <c r="O27" s="8"/>
      <c r="P27" s="24"/>
    </row>
    <row r="28" spans="1:16" ht="15" customHeight="1" x14ac:dyDescent="0.2">
      <c r="A28" s="22">
        <v>23</v>
      </c>
      <c r="B28" s="97" t="s">
        <v>88</v>
      </c>
      <c r="C28" s="92" t="str">
        <f>IF(Team2!C23="","",Team2!C23)</f>
        <v>Zara Hopkins</v>
      </c>
      <c r="D28" s="92" t="str">
        <f>IF(Team2!D23="","",Team2!D23)</f>
        <v>Poppy Jeffers</v>
      </c>
      <c r="E28" s="101"/>
      <c r="F28" s="101"/>
      <c r="G28" s="101"/>
      <c r="H28" s="22">
        <v>24</v>
      </c>
      <c r="I28" s="97" t="s">
        <v>67</v>
      </c>
      <c r="J28" s="92" t="str">
        <f>IF(Team2!G23="","",Team2!G23)</f>
        <v>Luke Coleman</v>
      </c>
      <c r="K28" s="92" t="str">
        <f>IF(Team2!H23="","",Team2!H23)</f>
        <v>Charlie Williamson</v>
      </c>
      <c r="L28" s="101"/>
      <c r="M28" s="101"/>
      <c r="N28" s="101"/>
      <c r="O28" s="8"/>
      <c r="P28" s="24"/>
    </row>
    <row r="29" spans="1:16" ht="15" customHeight="1" x14ac:dyDescent="0.2">
      <c r="A29" s="22">
        <v>25</v>
      </c>
      <c r="B29" s="97" t="s">
        <v>89</v>
      </c>
      <c r="C29" s="92" t="str">
        <f>IF(Team2!C24="","",Team2!C24)</f>
        <v>Evie Lowry</v>
      </c>
      <c r="D29" s="92" t="str">
        <f>IF(Team2!D24="","",Team2!D24)</f>
        <v>Katie Jeffers</v>
      </c>
      <c r="E29" s="101"/>
      <c r="F29" s="101"/>
      <c r="G29" s="101"/>
      <c r="H29" s="22">
        <v>26</v>
      </c>
      <c r="I29" s="97" t="s">
        <v>68</v>
      </c>
      <c r="J29" s="92" t="str">
        <f>IF(Team2!G24="","",Team2!G24)</f>
        <v>Benjamin Bickerstaffe</v>
      </c>
      <c r="K29" s="92" t="str">
        <f>IF(Team2!H24="","",Team2!H24)</f>
        <v>Cillan Hall</v>
      </c>
      <c r="L29" s="101"/>
      <c r="M29" s="101"/>
      <c r="N29" s="101"/>
      <c r="O29" s="8"/>
      <c r="P29" s="24"/>
    </row>
    <row r="30" spans="1:16" ht="15.95" customHeight="1" thickBot="1" x14ac:dyDescent="0.25">
      <c r="A30" s="23">
        <v>27</v>
      </c>
      <c r="B30" s="98" t="s">
        <v>90</v>
      </c>
      <c r="C30" s="93" t="str">
        <f>IF(Team2!C25="","",Team2!C25)</f>
        <v>Emily Coleman</v>
      </c>
      <c r="D30" s="93" t="str">
        <f>IF(Team2!D25="","",Team2!D25)</f>
        <v>Yzabelle Pacia</v>
      </c>
      <c r="E30" s="102"/>
      <c r="F30" s="102"/>
      <c r="G30" s="102"/>
      <c r="H30" s="23">
        <v>28</v>
      </c>
      <c r="I30" s="98" t="s">
        <v>69</v>
      </c>
      <c r="J30" s="93" t="str">
        <f>IF(Team2!G25="","",Team2!G25)</f>
        <v>Alfie Shawe</v>
      </c>
      <c r="K30" s="93" t="str">
        <f>IF(Team2!H25="","",Team2!H25)</f>
        <v xml:space="preserve">Tom Keys </v>
      </c>
      <c r="L30" s="102"/>
      <c r="M30" s="102"/>
      <c r="N30" s="102"/>
      <c r="O30" s="8"/>
      <c r="P30" s="9"/>
    </row>
    <row r="31" spans="1:16" ht="15.95" customHeight="1" thickBot="1" x14ac:dyDescent="0.25">
      <c r="A31" s="163"/>
      <c r="B31" s="164"/>
      <c r="C31" s="165"/>
      <c r="D31" s="169" t="s">
        <v>118</v>
      </c>
      <c r="E31" s="166"/>
      <c r="F31" s="166"/>
      <c r="G31" s="166"/>
      <c r="H31" s="167"/>
      <c r="I31" s="164"/>
      <c r="J31" s="165"/>
      <c r="K31" s="169" t="s">
        <v>115</v>
      </c>
      <c r="L31" s="166"/>
      <c r="M31" s="166"/>
      <c r="N31" s="166"/>
      <c r="O31" s="8"/>
      <c r="P31" s="9"/>
    </row>
    <row r="32" spans="1:16" ht="15.95" customHeight="1" thickBot="1" x14ac:dyDescent="0.25">
      <c r="A32" s="137"/>
      <c r="B32" s="138"/>
      <c r="C32" s="139"/>
      <c r="D32" s="139"/>
      <c r="E32" s="139"/>
      <c r="F32" s="139"/>
      <c r="G32" s="139"/>
      <c r="H32" s="139"/>
      <c r="I32" s="138"/>
      <c r="J32" s="139"/>
      <c r="K32" s="151" t="s">
        <v>98</v>
      </c>
      <c r="L32" s="116"/>
      <c r="M32" s="116"/>
      <c r="N32" s="116"/>
      <c r="O32" s="8"/>
      <c r="P32" s="9"/>
    </row>
    <row r="33" spans="1:16" ht="15" customHeight="1" x14ac:dyDescent="0.2">
      <c r="A33" s="21">
        <v>29</v>
      </c>
      <c r="B33" s="96" t="s">
        <v>91</v>
      </c>
      <c r="C33" s="91" t="str">
        <f>IF(Team2!C26="","",Team2!C26)</f>
        <v>Amelia Stone</v>
      </c>
      <c r="D33" s="91" t="str">
        <f>IF(Team2!D26="","",Team2!D26)</f>
        <v>Erin Lowry</v>
      </c>
      <c r="E33" s="103"/>
      <c r="F33" s="103"/>
      <c r="G33" s="103"/>
      <c r="H33" s="21">
        <v>30</v>
      </c>
      <c r="I33" s="96" t="s">
        <v>70</v>
      </c>
      <c r="J33" s="91" t="str">
        <f>IF(Team2!G26="","",Team2!G26)</f>
        <v>Harry McGlashan</v>
      </c>
      <c r="K33" s="91" t="str">
        <f>IF(Team2!H26="","",Team2!H26)</f>
        <v>Ross Gray</v>
      </c>
      <c r="L33" s="103"/>
      <c r="M33" s="103"/>
      <c r="N33" s="103"/>
      <c r="O33" s="8"/>
      <c r="P33" s="9"/>
    </row>
    <row r="34" spans="1:16" ht="15" customHeight="1" x14ac:dyDescent="0.2">
      <c r="A34" s="22">
        <v>31</v>
      </c>
      <c r="B34" s="97" t="s">
        <v>92</v>
      </c>
      <c r="C34" s="92" t="str">
        <f>IF(Team2!C27="","",Team2!C27)</f>
        <v>Zara Hopkins</v>
      </c>
      <c r="D34" s="92" t="str">
        <f>IF(Team2!D27="","",Team2!D27)</f>
        <v xml:space="preserve">Erin Fitzpatrick </v>
      </c>
      <c r="E34" s="101"/>
      <c r="F34" s="101"/>
      <c r="G34" s="101"/>
      <c r="H34" s="22">
        <v>32</v>
      </c>
      <c r="I34" s="97" t="s">
        <v>71</v>
      </c>
      <c r="J34" s="92" t="str">
        <f>IF(Team2!G27="","",Team2!G27)</f>
        <v>Luke Coleman</v>
      </c>
      <c r="K34" s="92" t="str">
        <f>IF(Team2!H27="","",Team2!H27)</f>
        <v>Charlie Williamson</v>
      </c>
      <c r="L34" s="101"/>
      <c r="M34" s="101"/>
      <c r="N34" s="101"/>
      <c r="O34" s="8"/>
      <c r="P34" s="9"/>
    </row>
    <row r="35" spans="1:16" ht="15" customHeight="1" x14ac:dyDescent="0.2">
      <c r="A35" s="22">
        <v>33</v>
      </c>
      <c r="B35" s="97" t="s">
        <v>93</v>
      </c>
      <c r="C35" s="92" t="str">
        <f>IF(Team2!C28="","",Team2!C28)</f>
        <v>Sinead McQuillan</v>
      </c>
      <c r="D35" s="92" t="str">
        <f>IF(Team2!D28="","",Team2!D28)</f>
        <v>Evie Lowry</v>
      </c>
      <c r="E35" s="101"/>
      <c r="F35" s="101"/>
      <c r="G35" s="101"/>
      <c r="H35" s="22">
        <v>34</v>
      </c>
      <c r="I35" s="97" t="s">
        <v>72</v>
      </c>
      <c r="J35" s="92" t="str">
        <f>IF(Team2!G28="","",Team2!G28)</f>
        <v>Benjamin Bickerstaffe</v>
      </c>
      <c r="K35" s="92" t="str">
        <f>IF(Team2!H28="","",Team2!H28)</f>
        <v>Cillan Hall</v>
      </c>
      <c r="L35" s="101"/>
      <c r="M35" s="101"/>
      <c r="N35" s="101"/>
      <c r="O35" s="8"/>
      <c r="P35" s="9"/>
    </row>
    <row r="36" spans="1:16" ht="15.95" customHeight="1" thickBot="1" x14ac:dyDescent="0.25">
      <c r="A36" s="23">
        <v>35</v>
      </c>
      <c r="B36" s="98" t="s">
        <v>94</v>
      </c>
      <c r="C36" s="93" t="str">
        <f>IF(Team2!C29="","",Team2!C29)</f>
        <v>Emily Coleman</v>
      </c>
      <c r="D36" s="93" t="str">
        <f>IF(Team2!D29="","",Team2!D29)</f>
        <v xml:space="preserve">Isobel Lamont </v>
      </c>
      <c r="E36" s="102"/>
      <c r="F36" s="102"/>
      <c r="G36" s="102"/>
      <c r="H36" s="23">
        <v>36</v>
      </c>
      <c r="I36" s="98" t="s">
        <v>73</v>
      </c>
      <c r="J36" s="93" t="str">
        <f>IF(Team2!G29="","",Team2!G29)</f>
        <v>Alfie Shawe</v>
      </c>
      <c r="K36" s="93" t="str">
        <f>IF(Team2!H29="","",Team2!H29)</f>
        <v xml:space="preserve">Tom Keys </v>
      </c>
      <c r="L36" s="102"/>
      <c r="M36" s="102"/>
      <c r="N36" s="102"/>
      <c r="O36" s="8"/>
      <c r="P36" s="9"/>
    </row>
    <row r="37" spans="1:16" ht="15.95" customHeight="1" thickBot="1" x14ac:dyDescent="0.25">
      <c r="A37" s="163"/>
      <c r="B37" s="164"/>
      <c r="C37" s="165"/>
      <c r="D37" s="169" t="s">
        <v>117</v>
      </c>
      <c r="E37" s="166"/>
      <c r="F37" s="166"/>
      <c r="G37" s="166"/>
      <c r="H37" s="167"/>
      <c r="I37" s="164"/>
      <c r="J37" s="165"/>
      <c r="K37" s="169" t="s">
        <v>116</v>
      </c>
      <c r="L37" s="166"/>
      <c r="M37" s="166"/>
      <c r="N37" s="166"/>
      <c r="O37" s="8"/>
      <c r="P37" s="9"/>
    </row>
    <row r="38" spans="1:16" ht="15.95" customHeight="1" thickBot="1" x14ac:dyDescent="0.25">
      <c r="A38" s="137"/>
      <c r="B38" s="138"/>
      <c r="C38" s="139"/>
      <c r="D38" s="139"/>
      <c r="E38" s="139"/>
      <c r="F38" s="139"/>
      <c r="G38" s="139"/>
      <c r="H38" s="139"/>
      <c r="I38" s="138"/>
      <c r="J38" s="139"/>
      <c r="K38" s="151" t="s">
        <v>99</v>
      </c>
      <c r="L38" s="116"/>
      <c r="M38" s="116"/>
      <c r="N38" s="116"/>
      <c r="O38" s="8"/>
      <c r="P38" s="9"/>
    </row>
    <row r="39" spans="1:16" ht="15" customHeight="1" x14ac:dyDescent="0.2">
      <c r="A39" s="252">
        <v>37</v>
      </c>
      <c r="B39" s="246" t="s">
        <v>9</v>
      </c>
      <c r="C39" s="104" t="str">
        <f>IF(Team2!C30="","",Team2!C30)</f>
        <v>Ross Gray</v>
      </c>
      <c r="D39" s="91" t="str">
        <f>IF(Team2!D30="","",Team2!D30)</f>
        <v/>
      </c>
      <c r="E39" s="117"/>
      <c r="F39" s="117"/>
      <c r="G39" s="117"/>
      <c r="H39" s="252">
        <v>38</v>
      </c>
      <c r="I39" s="246" t="s">
        <v>10</v>
      </c>
      <c r="J39" s="91" t="str">
        <f>IF(Team2!G30="","",Team2!G30)</f>
        <v xml:space="preserve">Charlie Williamson </v>
      </c>
      <c r="K39" s="91" t="str">
        <f>IF(Team2!H30="","",Team2!H30)</f>
        <v/>
      </c>
      <c r="L39" s="117"/>
      <c r="M39" s="117"/>
      <c r="N39" s="117"/>
      <c r="O39" s="8"/>
      <c r="P39" s="9"/>
    </row>
    <row r="40" spans="1:16" ht="15" customHeight="1" x14ac:dyDescent="0.2">
      <c r="A40" s="253"/>
      <c r="B40" s="247"/>
      <c r="C40" s="129" t="str">
        <f>IF(Team2!C31="","",Team2!C31)</f>
        <v>Erin Lowry</v>
      </c>
      <c r="D40" s="127" t="str">
        <f>IF(Team2!D31="","",Team2!D31)</f>
        <v/>
      </c>
      <c r="E40" s="116"/>
      <c r="F40" s="116"/>
      <c r="G40" s="116"/>
      <c r="H40" s="253"/>
      <c r="I40" s="247"/>
      <c r="J40" s="127" t="str">
        <f>IF(Team2!G31="","",Team2!G31)</f>
        <v xml:space="preserve">Erin Fitzpatrick </v>
      </c>
      <c r="K40" s="127" t="str">
        <f>IF(Team2!H31="","",Team2!H31)</f>
        <v/>
      </c>
      <c r="L40" s="116"/>
      <c r="M40" s="116"/>
      <c r="N40" s="116"/>
      <c r="O40" s="8"/>
      <c r="P40" s="9"/>
    </row>
    <row r="41" spans="1:16" ht="15" customHeight="1" x14ac:dyDescent="0.2">
      <c r="A41" s="253"/>
      <c r="B41" s="247"/>
      <c r="C41" s="105" t="str">
        <f>IF(Team2!C32="","",Team2!C32)</f>
        <v xml:space="preserve">Amelia Stone </v>
      </c>
      <c r="D41" s="92" t="str">
        <f>IF(Team2!D32="","",Team2!D32)</f>
        <v/>
      </c>
      <c r="E41" s="116"/>
      <c r="F41" s="116"/>
      <c r="G41" s="116"/>
      <c r="H41" s="253"/>
      <c r="I41" s="247"/>
      <c r="J41" s="92" t="str">
        <f>IF(Team2!G32="","",Team2!G32)</f>
        <v>Zara Hopkins</v>
      </c>
      <c r="K41" s="92" t="str">
        <f>IF(Team2!H32="","",Team2!H32)</f>
        <v/>
      </c>
      <c r="L41" s="116"/>
      <c r="M41" s="116"/>
      <c r="N41" s="116"/>
      <c r="O41" s="8"/>
      <c r="P41" s="9"/>
    </row>
    <row r="42" spans="1:16" ht="15.95" customHeight="1" thickBot="1" x14ac:dyDescent="0.25">
      <c r="A42" s="254"/>
      <c r="B42" s="248"/>
      <c r="C42" s="130" t="str">
        <f>IF(Team2!C33="","",Team2!C33)</f>
        <v>Harry McGlashen</v>
      </c>
      <c r="D42" s="128" t="str">
        <f>IF(Team2!D33="","",Team2!D33)</f>
        <v/>
      </c>
      <c r="E42" s="118"/>
      <c r="F42" s="118"/>
      <c r="G42" s="118"/>
      <c r="H42" s="254"/>
      <c r="I42" s="248"/>
      <c r="J42" s="128" t="str">
        <f>IF(Team2!G33="","",Team2!G33)</f>
        <v>Luke Coleman</v>
      </c>
      <c r="K42" s="128" t="str">
        <f>IF(Team2!H33="","",Team2!H33)</f>
        <v/>
      </c>
      <c r="L42" s="118"/>
      <c r="M42" s="118"/>
      <c r="N42" s="118"/>
      <c r="O42" s="8"/>
      <c r="P42" s="9"/>
    </row>
    <row r="43" spans="1:16" ht="15" customHeight="1" x14ac:dyDescent="0.2">
      <c r="A43" s="252">
        <v>39</v>
      </c>
      <c r="B43" s="246" t="s">
        <v>11</v>
      </c>
      <c r="C43" s="91" t="str">
        <f>IF(Team2!C34="","",Team2!C34)</f>
        <v>Cillan Hall</v>
      </c>
      <c r="D43" s="91" t="str">
        <f>IF(Team2!D34="","",Team2!D34)</f>
        <v/>
      </c>
      <c r="E43" s="117"/>
      <c r="F43" s="117"/>
      <c r="G43" s="117"/>
      <c r="H43" s="252">
        <v>40</v>
      </c>
      <c r="I43" s="246" t="s">
        <v>12</v>
      </c>
      <c r="J43" s="91" t="str">
        <f>IF(Team2!G34="","",Team2!G34)</f>
        <v>Tom Keys</v>
      </c>
      <c r="K43" s="91" t="str">
        <f>IF(Team2!H34="","",Team2!H34)</f>
        <v/>
      </c>
      <c r="L43" s="117"/>
      <c r="M43" s="117"/>
      <c r="N43" s="117"/>
      <c r="O43" s="8"/>
      <c r="P43" s="9"/>
    </row>
    <row r="44" spans="1:16" ht="15" customHeight="1" x14ac:dyDescent="0.2">
      <c r="A44" s="253"/>
      <c r="B44" s="247"/>
      <c r="C44" s="132" t="str">
        <f>IF(Team2!C35="","",Team2!C35)</f>
        <v>Evie Lowry</v>
      </c>
      <c r="D44" s="132" t="str">
        <f>IF(Team2!D35="","",Team2!D35)</f>
        <v/>
      </c>
      <c r="E44" s="116"/>
      <c r="F44" s="116"/>
      <c r="G44" s="116"/>
      <c r="H44" s="253"/>
      <c r="I44" s="247"/>
      <c r="J44" s="132" t="str">
        <f>IF(Team2!G35="","",Team2!G35)</f>
        <v xml:space="preserve">Isobel Lamont </v>
      </c>
      <c r="K44" s="132" t="str">
        <f>IF(Team2!H35="","",Team2!H35)</f>
        <v/>
      </c>
      <c r="L44" s="116"/>
      <c r="M44" s="116"/>
      <c r="N44" s="116"/>
      <c r="O44" s="8"/>
      <c r="P44" s="9"/>
    </row>
    <row r="45" spans="1:16" ht="15" customHeight="1" x14ac:dyDescent="0.2">
      <c r="A45" s="253"/>
      <c r="B45" s="247"/>
      <c r="C45" s="92" t="str">
        <f>IF(Team2!C36="","",Team2!C36)</f>
        <v>Sinead McQuillan</v>
      </c>
      <c r="D45" s="92" t="str">
        <f>IF(Team2!D36="","",Team2!D36)</f>
        <v/>
      </c>
      <c r="E45" s="116"/>
      <c r="F45" s="116"/>
      <c r="G45" s="116"/>
      <c r="H45" s="253"/>
      <c r="I45" s="247"/>
      <c r="J45" s="92" t="str">
        <f>IF(Team2!G36="","",Team2!G36)</f>
        <v>Emily Coleman</v>
      </c>
      <c r="K45" s="92" t="str">
        <f>IF(Team2!H36="","",Team2!H36)</f>
        <v/>
      </c>
      <c r="L45" s="116"/>
      <c r="M45" s="116"/>
      <c r="N45" s="116"/>
      <c r="O45" s="8"/>
      <c r="P45" s="9"/>
    </row>
    <row r="46" spans="1:16" ht="15.95" customHeight="1" thickBot="1" x14ac:dyDescent="0.25">
      <c r="A46" s="254"/>
      <c r="B46" s="248"/>
      <c r="C46" s="134" t="str">
        <f>IF(Team2!C37="","",Team2!C37)</f>
        <v>Ben Bickerstaffe</v>
      </c>
      <c r="D46" s="134" t="str">
        <f>IF(Team2!D37="","",Team2!D37)</f>
        <v/>
      </c>
      <c r="E46" s="118"/>
      <c r="F46" s="118"/>
      <c r="G46" s="118"/>
      <c r="H46" s="254"/>
      <c r="I46" s="248"/>
      <c r="J46" s="134" t="str">
        <f>IF(Team2!G37="","",Team2!G37)</f>
        <v>Alfie Shawe</v>
      </c>
      <c r="K46" s="134" t="str">
        <f>IF(Team2!H37="","",Team2!H37)</f>
        <v/>
      </c>
      <c r="L46" s="118"/>
      <c r="M46" s="118"/>
      <c r="N46" s="118"/>
      <c r="O46" s="8"/>
      <c r="P46" s="9"/>
    </row>
    <row r="47" spans="1:16" ht="15.95" customHeight="1" thickBot="1" x14ac:dyDescent="0.25">
      <c r="A47" s="137"/>
      <c r="B47" s="138"/>
      <c r="C47" s="139"/>
      <c r="D47" s="139"/>
      <c r="E47" s="139"/>
      <c r="F47" s="139"/>
      <c r="G47" s="139"/>
      <c r="H47" s="139"/>
      <c r="I47" s="138"/>
      <c r="J47" s="139"/>
      <c r="K47" s="142" t="s">
        <v>40</v>
      </c>
      <c r="L47" s="140"/>
      <c r="M47" s="140"/>
      <c r="N47" s="141"/>
      <c r="O47" s="8"/>
      <c r="P47" s="9"/>
    </row>
    <row r="48" spans="1:16" ht="12" customHeight="1" x14ac:dyDescent="0.2">
      <c r="A48" s="25"/>
      <c r="B48" s="26"/>
      <c r="C48" s="26"/>
      <c r="D48" s="27"/>
      <c r="E48" s="26"/>
      <c r="F48" s="26"/>
      <c r="G48" s="26"/>
      <c r="H48" s="26"/>
      <c r="I48" s="26"/>
      <c r="J48" s="26"/>
      <c r="K48" s="26"/>
      <c r="L48" s="28"/>
      <c r="M48" s="28"/>
      <c r="N48" s="28"/>
      <c r="O48" s="28"/>
      <c r="P48" s="9"/>
    </row>
    <row r="49" spans="1:16" ht="12" customHeight="1" x14ac:dyDescent="0.2">
      <c r="A49" s="29"/>
      <c r="B49" s="28"/>
      <c r="C49" s="28"/>
      <c r="D49" s="30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9"/>
    </row>
    <row r="50" spans="1:16" ht="12" customHeight="1" x14ac:dyDescent="0.2">
      <c r="A50" s="29"/>
      <c r="B50" s="28"/>
      <c r="C50" s="31"/>
      <c r="D50" s="30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9"/>
    </row>
    <row r="51" spans="1:16" ht="12" customHeight="1" x14ac:dyDescent="0.2">
      <c r="A51" s="29"/>
      <c r="B51" s="28"/>
      <c r="C51" s="31"/>
      <c r="D51" s="30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9"/>
    </row>
    <row r="52" spans="1:16" ht="12" customHeight="1" x14ac:dyDescent="0.2">
      <c r="A52" s="29"/>
      <c r="B52" s="28"/>
      <c r="C52" s="31"/>
      <c r="D52" s="30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9"/>
    </row>
    <row r="53" spans="1:16" ht="12" customHeight="1" x14ac:dyDescent="0.2">
      <c r="A53" s="29"/>
      <c r="B53" s="28"/>
      <c r="C53" s="31"/>
      <c r="D53" s="30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9"/>
    </row>
    <row r="54" spans="1:16" ht="12" customHeight="1" x14ac:dyDescent="0.2">
      <c r="A54" s="29"/>
      <c r="B54" s="28"/>
      <c r="C54" s="31"/>
      <c r="D54" s="30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9"/>
    </row>
    <row r="55" spans="1:16" ht="12" customHeight="1" x14ac:dyDescent="0.2">
      <c r="A55" s="32"/>
      <c r="B55" s="33"/>
      <c r="C55" s="34"/>
      <c r="D55" s="35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6"/>
    </row>
  </sheetData>
  <mergeCells count="18">
    <mergeCell ref="A2:N2"/>
    <mergeCell ref="C4:D4"/>
    <mergeCell ref="A6:A9"/>
    <mergeCell ref="B6:B9"/>
    <mergeCell ref="H6:H9"/>
    <mergeCell ref="I6:I9"/>
    <mergeCell ref="A43:A46"/>
    <mergeCell ref="B43:B46"/>
    <mergeCell ref="H43:H46"/>
    <mergeCell ref="I43:I46"/>
    <mergeCell ref="A10:A13"/>
    <mergeCell ref="B10:B13"/>
    <mergeCell ref="H10:H13"/>
    <mergeCell ref="I10:I13"/>
    <mergeCell ref="A39:A42"/>
    <mergeCell ref="B39:B42"/>
    <mergeCell ref="H39:H42"/>
    <mergeCell ref="I39:I42"/>
  </mergeCells>
  <conditionalFormatting sqref="C4 J4">
    <cfRule type="cellIs" dxfId="1" priority="1" stopIfTrue="1" operator="equal">
      <formula>"Lurgan"</formula>
    </cfRule>
  </conditionalFormatting>
  <pageMargins left="0" right="0" top="0" bottom="0" header="0" footer="0"/>
  <pageSetup paperSize="9" scale="8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IZ55"/>
  <sheetViews>
    <sheetView showGridLines="0" topLeftCell="B16" zoomScale="90" zoomScaleNormal="90" workbookViewId="0">
      <selection activeCell="J26" sqref="J26"/>
    </sheetView>
  </sheetViews>
  <sheetFormatPr defaultColWidth="6.59765625" defaultRowHeight="12" customHeight="1" x14ac:dyDescent="0.2"/>
  <cols>
    <col min="1" max="1" width="3" style="90" customWidth="1"/>
    <col min="2" max="2" width="12.796875" style="90" customWidth="1"/>
    <col min="3" max="4" width="16" style="90" customWidth="1"/>
    <col min="5" max="7" width="5.09765625" style="90" customWidth="1"/>
    <col min="8" max="8" width="3" style="90" customWidth="1"/>
    <col min="9" max="9" width="12.796875" style="90" customWidth="1"/>
    <col min="10" max="11" width="16" style="90" customWidth="1"/>
    <col min="12" max="14" width="5.09765625" style="90" customWidth="1"/>
    <col min="15" max="15" width="0.59765625" style="90" customWidth="1"/>
    <col min="16" max="16" width="22.3984375" style="90" customWidth="1"/>
    <col min="17" max="260" width="6.59765625" style="90" customWidth="1"/>
  </cols>
  <sheetData>
    <row r="1" spans="1:16" ht="12" customHeight="1" x14ac:dyDescent="0.2">
      <c r="A1" s="2"/>
      <c r="B1" s="3"/>
      <c r="C1" s="3"/>
      <c r="D1" s="4"/>
      <c r="E1" s="3"/>
      <c r="F1" s="3"/>
      <c r="G1" s="3"/>
      <c r="H1" s="3"/>
      <c r="I1" s="3"/>
      <c r="J1" s="3"/>
      <c r="K1" s="3"/>
      <c r="L1" s="157"/>
      <c r="M1" s="157"/>
      <c r="N1" s="157"/>
      <c r="O1" s="6"/>
      <c r="P1" s="7"/>
    </row>
    <row r="2" spans="1:16" ht="15.75" x14ac:dyDescent="0.25">
      <c r="A2" s="259" t="s">
        <v>0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60"/>
      <c r="O2" s="8"/>
      <c r="P2" s="9"/>
    </row>
    <row r="3" spans="1:16" ht="15" customHeight="1" thickBot="1" x14ac:dyDescent="0.25">
      <c r="A3" s="10"/>
      <c r="B3" s="11"/>
      <c r="C3" s="12"/>
      <c r="D3" s="13"/>
      <c r="E3" s="12"/>
      <c r="F3" s="12"/>
      <c r="G3" s="12"/>
      <c r="H3" s="12"/>
      <c r="I3" s="12"/>
      <c r="J3" s="12"/>
      <c r="K3" s="12"/>
      <c r="L3" s="157"/>
      <c r="M3" s="157"/>
      <c r="N3" s="157"/>
      <c r="O3" s="8"/>
      <c r="P3" s="9"/>
    </row>
    <row r="4" spans="1:16" ht="15.95" customHeight="1" thickBot="1" x14ac:dyDescent="0.25">
      <c r="A4" s="14" t="s">
        <v>124</v>
      </c>
      <c r="B4" s="15"/>
      <c r="C4" s="261" t="str">
        <f>IF(Team3!C4="","",Team3!C4)</f>
        <v>Limavady</v>
      </c>
      <c r="D4" s="262"/>
      <c r="E4" s="119"/>
      <c r="F4" s="119"/>
      <c r="G4" s="119"/>
      <c r="H4" s="16" t="str">
        <f>A4</f>
        <v>Team 3:</v>
      </c>
      <c r="I4" s="15"/>
      <c r="J4" s="16"/>
      <c r="K4" s="15"/>
      <c r="L4" s="15"/>
      <c r="M4" s="15"/>
      <c r="N4" s="17"/>
      <c r="O4" s="8"/>
      <c r="P4" s="9"/>
    </row>
    <row r="5" spans="1:16" ht="15.95" customHeight="1" thickBot="1" x14ac:dyDescent="0.25">
      <c r="A5" s="99" t="s">
        <v>74</v>
      </c>
      <c r="B5" s="18" t="s">
        <v>1</v>
      </c>
      <c r="C5" s="18" t="s">
        <v>3</v>
      </c>
      <c r="D5" s="18" t="s">
        <v>136</v>
      </c>
      <c r="E5" s="170" t="s">
        <v>119</v>
      </c>
      <c r="F5" s="170" t="s">
        <v>120</v>
      </c>
      <c r="G5" s="170" t="s">
        <v>121</v>
      </c>
      <c r="H5" s="100" t="s">
        <v>74</v>
      </c>
      <c r="I5" s="18" t="s">
        <v>1</v>
      </c>
      <c r="J5" s="18" t="s">
        <v>3</v>
      </c>
      <c r="K5" s="18" t="s">
        <v>136</v>
      </c>
      <c r="L5" s="170" t="s">
        <v>119</v>
      </c>
      <c r="M5" s="170" t="s">
        <v>120</v>
      </c>
      <c r="N5" s="170" t="s">
        <v>121</v>
      </c>
      <c r="O5" s="8"/>
      <c r="P5" s="9"/>
    </row>
    <row r="6" spans="1:16" ht="15" customHeight="1" x14ac:dyDescent="0.2">
      <c r="A6" s="252">
        <v>1</v>
      </c>
      <c r="B6" s="246" t="s">
        <v>5</v>
      </c>
      <c r="C6" s="91" t="str">
        <f>IF(Team3!C6="","",Team3!C6)</f>
        <v>Tom Cormie</v>
      </c>
      <c r="D6" s="91" t="str">
        <f>IF(Team3!D6="","",Team3!D6)</f>
        <v>Molly Austin</v>
      </c>
      <c r="E6" s="116"/>
      <c r="F6" s="116"/>
      <c r="G6" s="116"/>
      <c r="H6" s="252">
        <v>2</v>
      </c>
      <c r="I6" s="246" t="s">
        <v>6</v>
      </c>
      <c r="J6" s="91" t="str">
        <f>IF(Team3!G6="","",Team3!G6)</f>
        <v>Katie Keown</v>
      </c>
      <c r="K6" s="91" t="str">
        <f>IF(Team3!H6="","",Team3!H6)</f>
        <v>Toby Dinsmore</v>
      </c>
      <c r="L6" s="117"/>
      <c r="M6" s="117"/>
      <c r="N6" s="117"/>
      <c r="O6" s="8"/>
      <c r="P6" s="9"/>
    </row>
    <row r="7" spans="1:16" ht="15" customHeight="1" x14ac:dyDescent="0.2">
      <c r="A7" s="253"/>
      <c r="B7" s="247"/>
      <c r="C7" s="127" t="str">
        <f>IF(Team3!C7="","",Team3!C7)</f>
        <v>Henry Connell</v>
      </c>
      <c r="D7" s="127" t="str">
        <f>IF(Team3!D7="","",Team3!D7)</f>
        <v>Jack Mc Gookin</v>
      </c>
      <c r="E7" s="116"/>
      <c r="F7" s="116"/>
      <c r="G7" s="116"/>
      <c r="H7" s="253"/>
      <c r="I7" s="247"/>
      <c r="J7" s="127" t="str">
        <f>IF(Team3!G7="","",Team3!G7)</f>
        <v>Alice Caldwell</v>
      </c>
      <c r="K7" s="127" t="str">
        <f>IF(Team3!H7="","",Team3!H7)</f>
        <v>Cody Blair</v>
      </c>
      <c r="L7" s="116"/>
      <c r="M7" s="116"/>
      <c r="N7" s="116"/>
      <c r="O7" s="8"/>
      <c r="P7" s="9"/>
    </row>
    <row r="8" spans="1:16" ht="15" customHeight="1" x14ac:dyDescent="0.2">
      <c r="A8" s="253"/>
      <c r="B8" s="247"/>
      <c r="C8" s="92" t="str">
        <f>IF(Team3!C8="","",Team3!C8)</f>
        <v>Myia Mc Clamont</v>
      </c>
      <c r="D8" s="92" t="str">
        <f>IF(Team3!D8="","",Team3!D8)</f>
        <v>Caelyn O Connor</v>
      </c>
      <c r="E8" s="116"/>
      <c r="F8" s="116"/>
      <c r="G8" s="116"/>
      <c r="H8" s="253"/>
      <c r="I8" s="247"/>
      <c r="J8" s="92" t="str">
        <f>IF(Team3!G8="","",Team3!G8)</f>
        <v>Sam Staats Howard</v>
      </c>
      <c r="K8" s="92" t="str">
        <f>IF(Team3!H8="","",Team3!H8)</f>
        <v>Emma Gallagher</v>
      </c>
      <c r="L8" s="116"/>
      <c r="M8" s="116"/>
      <c r="N8" s="116"/>
      <c r="O8" s="8"/>
      <c r="P8" s="9"/>
    </row>
    <row r="9" spans="1:16" ht="15.95" customHeight="1" thickBot="1" x14ac:dyDescent="0.25">
      <c r="A9" s="254"/>
      <c r="B9" s="248"/>
      <c r="C9" s="128" t="str">
        <f>IF(Team3!C9="","",Team3!C9)</f>
        <v>Fiona O Neill</v>
      </c>
      <c r="D9" s="128" t="str">
        <f>IF(Team3!D9="","",Team3!D9)</f>
        <v>Harry Butcher</v>
      </c>
      <c r="E9" s="118"/>
      <c r="F9" s="118"/>
      <c r="G9" s="118"/>
      <c r="H9" s="254"/>
      <c r="I9" s="248"/>
      <c r="J9" s="128" t="str">
        <f>IF(Team3!G9="","",Team3!G9)</f>
        <v>Kevin Mc Macken</v>
      </c>
      <c r="K9" s="128" t="str">
        <f>IF(Team3!H9="","",Team3!H9)</f>
        <v>Eva Campbell</v>
      </c>
      <c r="L9" s="118"/>
      <c r="M9" s="118"/>
      <c r="N9" s="118"/>
      <c r="O9" s="8"/>
      <c r="P9" s="9"/>
    </row>
    <row r="10" spans="1:16" ht="15" customHeight="1" x14ac:dyDescent="0.2">
      <c r="A10" s="252">
        <v>3</v>
      </c>
      <c r="B10" s="246" t="s">
        <v>7</v>
      </c>
      <c r="C10" s="104" t="str">
        <f>IF(Team3!C10="","",Team3!C10)</f>
        <v>Amy Mc Gurk</v>
      </c>
      <c r="D10" s="91" t="str">
        <f>IF(Team3!D10="","",Team3!D10)</f>
        <v>Amelia Kingston</v>
      </c>
      <c r="E10" s="117"/>
      <c r="F10" s="117"/>
      <c r="G10" s="117"/>
      <c r="H10" s="252">
        <v>4</v>
      </c>
      <c r="I10" s="246" t="s">
        <v>8</v>
      </c>
      <c r="J10" s="91" t="str">
        <f>IF(Team3!G10="","",Team3!G10)</f>
        <v>Emily Butcher</v>
      </c>
      <c r="K10" s="91" t="str">
        <f>IF(Team3!H10="","",Team3!H10)</f>
        <v>Darragh Mc Cann-Kennedy</v>
      </c>
      <c r="L10" s="117"/>
      <c r="M10" s="117"/>
      <c r="N10" s="117"/>
      <c r="O10" s="8"/>
      <c r="P10" s="9"/>
    </row>
    <row r="11" spans="1:16" ht="15" customHeight="1" x14ac:dyDescent="0.2">
      <c r="A11" s="253"/>
      <c r="B11" s="247"/>
      <c r="C11" s="131" t="str">
        <f>IF(Team3!C11="","",Team3!C11)</f>
        <v>Alexander Blaha</v>
      </c>
      <c r="D11" s="132" t="str">
        <f>IF(Team3!D11="","",Team3!D11)</f>
        <v>Ellie Lundy</v>
      </c>
      <c r="E11" s="116"/>
      <c r="F11" s="116"/>
      <c r="G11" s="116"/>
      <c r="H11" s="253"/>
      <c r="I11" s="247"/>
      <c r="J11" s="132" t="str">
        <f>IF(Team3!G11="","",Team3!G11)</f>
        <v>Joshua Hunt</v>
      </c>
      <c r="K11" s="132" t="str">
        <f>IF(Team3!H11="","",Team3!H11)</f>
        <v>Niamh Mc Henry</v>
      </c>
      <c r="L11" s="116"/>
      <c r="M11" s="116"/>
      <c r="N11" s="116"/>
      <c r="O11" s="8"/>
      <c r="P11" s="9"/>
    </row>
    <row r="12" spans="1:16" ht="15" customHeight="1" x14ac:dyDescent="0.2">
      <c r="A12" s="253"/>
      <c r="B12" s="247"/>
      <c r="C12" s="105" t="str">
        <f>IF(Team3!C12="","",Team3!C12)</f>
        <v>Anna Mc Gookin</v>
      </c>
      <c r="D12" s="92" t="str">
        <f>IF(Team3!D12="","",Team3!D12)</f>
        <v>David Mc Curyy</v>
      </c>
      <c r="E12" s="116"/>
      <c r="F12" s="116"/>
      <c r="G12" s="116"/>
      <c r="H12" s="253"/>
      <c r="I12" s="247"/>
      <c r="J12" s="92" t="str">
        <f>IF(Team3!G12="","",Team3!G12)</f>
        <v>Abbi Craig</v>
      </c>
      <c r="K12" s="92" t="str">
        <f>IF(Team3!H12="","",Team3!H12)</f>
        <v>Erin Callaghan</v>
      </c>
      <c r="L12" s="116"/>
      <c r="M12" s="116"/>
      <c r="N12" s="116"/>
      <c r="O12" s="8"/>
      <c r="P12" s="9"/>
    </row>
    <row r="13" spans="1:16" ht="15.95" customHeight="1" thickBot="1" x14ac:dyDescent="0.25">
      <c r="A13" s="254"/>
      <c r="B13" s="248"/>
      <c r="C13" s="133" t="str">
        <f>IF(Team3!C13="","",Team3!C13)</f>
        <v>Cailean Gallagher</v>
      </c>
      <c r="D13" s="134" t="str">
        <f>IF(Team3!D13="","",Team3!D13)</f>
        <v>Lewis Robinson</v>
      </c>
      <c r="E13" s="118"/>
      <c r="F13" s="118"/>
      <c r="G13" s="118"/>
      <c r="H13" s="254"/>
      <c r="I13" s="248"/>
      <c r="J13" s="134" t="str">
        <f>IF(Team3!G13="","",Team3!G13)</f>
        <v>Ben Dinsmore</v>
      </c>
      <c r="K13" s="134" t="str">
        <f>IF(Team3!H13="","",Team3!H13)</f>
        <v>Jude Williams</v>
      </c>
      <c r="L13" s="118"/>
      <c r="M13" s="118"/>
      <c r="N13" s="118"/>
      <c r="O13" s="8"/>
      <c r="P13" s="9"/>
    </row>
    <row r="14" spans="1:16" ht="15.95" customHeight="1" thickBot="1" x14ac:dyDescent="0.25">
      <c r="A14" s="137"/>
      <c r="B14" s="138"/>
      <c r="C14" s="139"/>
      <c r="D14" s="139"/>
      <c r="E14" s="139"/>
      <c r="F14" s="139"/>
      <c r="G14" s="139"/>
      <c r="H14" s="139"/>
      <c r="I14" s="138"/>
      <c r="J14" s="139"/>
      <c r="K14" s="151" t="s">
        <v>95</v>
      </c>
      <c r="L14" s="116"/>
      <c r="M14" s="116"/>
      <c r="N14" s="116"/>
      <c r="O14" s="8"/>
      <c r="P14" s="9"/>
    </row>
    <row r="15" spans="1:16" ht="15" customHeight="1" x14ac:dyDescent="0.2">
      <c r="A15" s="21">
        <v>5</v>
      </c>
      <c r="B15" s="96" t="s">
        <v>83</v>
      </c>
      <c r="C15" s="91" t="str">
        <f>IF(Team3!C14="","",Team3!C14)</f>
        <v>Myia Mc Clamont</v>
      </c>
      <c r="D15" s="91" t="str">
        <f>IF(Team3!D14="","",Team3!D14)</f>
        <v>Caelyn O Connor</v>
      </c>
      <c r="E15" s="103"/>
      <c r="F15" s="103"/>
      <c r="G15" s="103"/>
      <c r="H15" s="21">
        <v>6</v>
      </c>
      <c r="I15" s="96" t="s">
        <v>58</v>
      </c>
      <c r="J15" s="91" t="str">
        <f>IF(Team3!G14="","",Team3!G14)</f>
        <v>Tom Cormie</v>
      </c>
      <c r="K15" s="91" t="str">
        <f>IF(Team3!H14="","",Team3!H14)</f>
        <v>Henry Connell</v>
      </c>
      <c r="L15" s="103"/>
      <c r="M15" s="103"/>
      <c r="N15" s="103"/>
      <c r="O15" s="8"/>
      <c r="P15" s="9"/>
    </row>
    <row r="16" spans="1:16" ht="15" customHeight="1" x14ac:dyDescent="0.2">
      <c r="A16" s="22">
        <v>7</v>
      </c>
      <c r="B16" s="97" t="s">
        <v>84</v>
      </c>
      <c r="C16" s="92" t="str">
        <f>IF(Team3!C15="","",Team3!C15)</f>
        <v>Alice Caldwell</v>
      </c>
      <c r="D16" s="92" t="str">
        <f>IF(Team3!D15="","",Team3!D15)</f>
        <v>Emma Gallagher</v>
      </c>
      <c r="E16" s="101"/>
      <c r="F16" s="101"/>
      <c r="G16" s="101"/>
      <c r="H16" s="22">
        <v>8</v>
      </c>
      <c r="I16" s="97" t="s">
        <v>59</v>
      </c>
      <c r="J16" s="92" t="str">
        <f>IF(Team3!G15="","",Team3!G15)</f>
        <v>Sam Staats Howard</v>
      </c>
      <c r="K16" s="92" t="str">
        <f>IF(Team3!H15="","",Team3!H15)</f>
        <v>Kevin Mc Macken</v>
      </c>
      <c r="L16" s="101"/>
      <c r="M16" s="101"/>
      <c r="N16" s="101"/>
      <c r="O16" s="8"/>
      <c r="P16" s="9"/>
    </row>
    <row r="17" spans="1:16" ht="15" customHeight="1" x14ac:dyDescent="0.2">
      <c r="A17" s="22">
        <v>9</v>
      </c>
      <c r="B17" s="97" t="s">
        <v>85</v>
      </c>
      <c r="C17" s="92" t="str">
        <f>IF(Team3!C16="","",Team3!C16)</f>
        <v>Anna Mc Gookin</v>
      </c>
      <c r="D17" s="92" t="str">
        <f>IF(Team3!D16="","",Team3!D16)</f>
        <v>Amy Mc Gurk</v>
      </c>
      <c r="E17" s="101"/>
      <c r="F17" s="101"/>
      <c r="G17" s="101"/>
      <c r="H17" s="22">
        <v>10</v>
      </c>
      <c r="I17" s="97" t="s">
        <v>60</v>
      </c>
      <c r="J17" s="92" t="str">
        <f>IF(Team3!G16="","",Team3!G16)</f>
        <v>Cailean Gallagher</v>
      </c>
      <c r="K17" s="92" t="str">
        <f>IF(Team3!H16="","",Team3!H16)</f>
        <v>Oliver Smith</v>
      </c>
      <c r="L17" s="101"/>
      <c r="M17" s="101"/>
      <c r="N17" s="101"/>
      <c r="O17" s="8"/>
      <c r="P17" s="9"/>
    </row>
    <row r="18" spans="1:16" ht="15.95" customHeight="1" thickBot="1" x14ac:dyDescent="0.25">
      <c r="A18" s="23">
        <v>11</v>
      </c>
      <c r="B18" s="98" t="s">
        <v>86</v>
      </c>
      <c r="C18" s="93" t="str">
        <f>IF(Team3!C17="","",Team3!C17)</f>
        <v>Erin Callaghan</v>
      </c>
      <c r="D18" s="93" t="str">
        <f>IF(Team3!D17="","",Team3!D17)</f>
        <v>Emily Butcher</v>
      </c>
      <c r="E18" s="102"/>
      <c r="F18" s="102"/>
      <c r="G18" s="102"/>
      <c r="H18" s="23">
        <v>12</v>
      </c>
      <c r="I18" s="98" t="s">
        <v>61</v>
      </c>
      <c r="J18" s="93" t="str">
        <f>IF(Team3!G17="","",Team3!G17)</f>
        <v>Ben Dinsmore</v>
      </c>
      <c r="K18" s="93" t="str">
        <f>IF(Team3!H17="","",Team3!H17)</f>
        <v>Darragh Mc Cann-Kennedy</v>
      </c>
      <c r="L18" s="102"/>
      <c r="M18" s="102"/>
      <c r="N18" s="102"/>
      <c r="O18" s="8"/>
      <c r="P18" s="9"/>
    </row>
    <row r="19" spans="1:16" ht="15.95" customHeight="1" thickBot="1" x14ac:dyDescent="0.25">
      <c r="A19" s="163"/>
      <c r="B19" s="164"/>
      <c r="C19" s="165"/>
      <c r="D19" s="168" t="s">
        <v>103</v>
      </c>
      <c r="E19" s="166"/>
      <c r="F19" s="166"/>
      <c r="G19" s="166"/>
      <c r="H19" s="167"/>
      <c r="I19" s="164"/>
      <c r="J19" s="165"/>
      <c r="K19" s="169" t="s">
        <v>104</v>
      </c>
      <c r="L19" s="166"/>
      <c r="M19" s="166"/>
      <c r="N19" s="166"/>
      <c r="O19" s="8"/>
      <c r="P19" s="9"/>
    </row>
    <row r="20" spans="1:16" ht="15.95" customHeight="1" thickBot="1" x14ac:dyDescent="0.25">
      <c r="A20" s="137"/>
      <c r="B20" s="138"/>
      <c r="C20" s="139"/>
      <c r="D20" s="139"/>
      <c r="E20" s="139"/>
      <c r="F20" s="139"/>
      <c r="G20" s="139"/>
      <c r="H20" s="139"/>
      <c r="I20" s="138"/>
      <c r="J20" s="139"/>
      <c r="K20" s="151" t="s">
        <v>96</v>
      </c>
      <c r="L20" s="116"/>
      <c r="M20" s="116"/>
      <c r="N20" s="116"/>
      <c r="O20" s="8"/>
      <c r="P20" s="9"/>
    </row>
    <row r="21" spans="1:16" ht="15" customHeight="1" x14ac:dyDescent="0.2">
      <c r="A21" s="21">
        <v>13</v>
      </c>
      <c r="B21" s="96" t="s">
        <v>105</v>
      </c>
      <c r="C21" s="91" t="str">
        <f>IF(Team3!C18="","",Team3!C18)</f>
        <v>Myia Mc Clamont</v>
      </c>
      <c r="D21" s="91" t="str">
        <f>IF(Team3!D18="","",Team3!D18)</f>
        <v>Fiona O Neill</v>
      </c>
      <c r="E21" s="103"/>
      <c r="F21" s="103"/>
      <c r="G21" s="103"/>
      <c r="H21" s="21">
        <v>14</v>
      </c>
      <c r="I21" s="96" t="s">
        <v>109</v>
      </c>
      <c r="J21" s="91" t="str">
        <f>IF(Team3!G18="","",Team3!G18)</f>
        <v>Henry Connell</v>
      </c>
      <c r="K21" s="91" t="str">
        <f>IF(Team3!H18="","",Team3!H18)</f>
        <v>Jack Mc Gookin</v>
      </c>
      <c r="L21" s="103"/>
      <c r="M21" s="103"/>
      <c r="N21" s="103"/>
      <c r="O21" s="8"/>
      <c r="P21" s="9"/>
    </row>
    <row r="22" spans="1:16" ht="15" customHeight="1" x14ac:dyDescent="0.2">
      <c r="A22" s="22">
        <v>15</v>
      </c>
      <c r="B22" s="97" t="s">
        <v>106</v>
      </c>
      <c r="C22" s="92" t="str">
        <f>IF(Team3!C19="","",Team3!C19)</f>
        <v>Alice Caldwell</v>
      </c>
      <c r="D22" s="92" t="str">
        <f>IF(Team3!D19="","",Team3!D19)</f>
        <v>Emma Gallagher</v>
      </c>
      <c r="E22" s="101"/>
      <c r="F22" s="101"/>
      <c r="G22" s="101"/>
      <c r="H22" s="22">
        <v>16</v>
      </c>
      <c r="I22" s="97" t="s">
        <v>110</v>
      </c>
      <c r="J22" s="92" t="str">
        <f>IF(Team3!G19="","",Team3!G19)</f>
        <v>Sam Staats Howard</v>
      </c>
      <c r="K22" s="92" t="str">
        <f>IF(Team3!H19="","",Team3!H19)</f>
        <v>Kevin Mc Macken</v>
      </c>
      <c r="L22" s="101"/>
      <c r="M22" s="101"/>
      <c r="N22" s="101"/>
      <c r="O22" s="8"/>
      <c r="P22" s="9"/>
    </row>
    <row r="23" spans="1:16" ht="15" customHeight="1" x14ac:dyDescent="0.2">
      <c r="A23" s="22">
        <v>17</v>
      </c>
      <c r="B23" s="97" t="s">
        <v>107</v>
      </c>
      <c r="C23" s="92" t="str">
        <f>IF(Team3!C20="","",Team3!C20)</f>
        <v>Brooke Mc Clamont</v>
      </c>
      <c r="D23" s="92" t="str">
        <f>IF(Team3!D20="","",Team3!D20)</f>
        <v>Ellie Lundy</v>
      </c>
      <c r="E23" s="101"/>
      <c r="F23" s="101"/>
      <c r="G23" s="101"/>
      <c r="H23" s="22">
        <v>18</v>
      </c>
      <c r="I23" s="97" t="s">
        <v>111</v>
      </c>
      <c r="J23" s="92" t="str">
        <f>IF(Team3!G20="","",Team3!G20)</f>
        <v>Cailean Gallagher</v>
      </c>
      <c r="K23" s="92" t="str">
        <f>IF(Team3!H20="","",Team3!H20)</f>
        <v>Alexander Blaha</v>
      </c>
      <c r="L23" s="101"/>
      <c r="M23" s="101"/>
      <c r="N23" s="101"/>
      <c r="O23" s="8"/>
      <c r="P23" s="9"/>
    </row>
    <row r="24" spans="1:16" ht="15.95" customHeight="1" thickBot="1" x14ac:dyDescent="0.25">
      <c r="A24" s="23">
        <v>19</v>
      </c>
      <c r="B24" s="98" t="s">
        <v>108</v>
      </c>
      <c r="C24" s="93" t="str">
        <f>IF(Team3!C21="","",Team3!C21)</f>
        <v>Niamh Mc Henry</v>
      </c>
      <c r="D24" s="93" t="str">
        <f>IF(Team3!D21="","",Team3!D21)</f>
        <v>Rose Mc Laughlin</v>
      </c>
      <c r="E24" s="102"/>
      <c r="F24" s="102"/>
      <c r="G24" s="102"/>
      <c r="H24" s="23">
        <v>20</v>
      </c>
      <c r="I24" s="98" t="s">
        <v>112</v>
      </c>
      <c r="J24" s="93" t="str">
        <f>IF(Team3!G21="","",Team3!G21)</f>
        <v>Joshua Hunt</v>
      </c>
      <c r="K24" s="93" t="str">
        <f>IF(Team3!H21="","",Team3!H21)</f>
        <v>Caleb Craig</v>
      </c>
      <c r="L24" s="102"/>
      <c r="M24" s="102"/>
      <c r="N24" s="102"/>
      <c r="O24" s="8"/>
      <c r="P24" s="9"/>
    </row>
    <row r="25" spans="1:16" ht="15.95" customHeight="1" thickBot="1" x14ac:dyDescent="0.25">
      <c r="A25" s="163"/>
      <c r="B25" s="164"/>
      <c r="C25" s="165"/>
      <c r="D25" s="168" t="s">
        <v>113</v>
      </c>
      <c r="E25" s="166"/>
      <c r="F25" s="166"/>
      <c r="G25" s="166"/>
      <c r="H25" s="167"/>
      <c r="I25" s="164"/>
      <c r="J25" s="165"/>
      <c r="K25" s="169" t="s">
        <v>114</v>
      </c>
      <c r="L25" s="166"/>
      <c r="M25" s="166"/>
      <c r="N25" s="166"/>
      <c r="O25" s="8"/>
      <c r="P25" s="9"/>
    </row>
    <row r="26" spans="1:16" ht="15.95" customHeight="1" thickBot="1" x14ac:dyDescent="0.25">
      <c r="A26" s="137"/>
      <c r="B26" s="138"/>
      <c r="C26" s="139"/>
      <c r="D26" s="139"/>
      <c r="E26" s="139"/>
      <c r="F26" s="139"/>
      <c r="G26" s="139"/>
      <c r="H26" s="139"/>
      <c r="I26" s="138"/>
      <c r="J26" s="139"/>
      <c r="K26" s="151" t="s">
        <v>97</v>
      </c>
      <c r="L26" s="116"/>
      <c r="M26" s="116"/>
      <c r="N26" s="116"/>
      <c r="O26" s="8"/>
      <c r="P26" s="9"/>
    </row>
    <row r="27" spans="1:16" ht="15" customHeight="1" x14ac:dyDescent="0.2">
      <c r="A27" s="21">
        <v>21</v>
      </c>
      <c r="B27" s="96" t="s">
        <v>87</v>
      </c>
      <c r="C27" s="91" t="str">
        <f>IF(Team3!C22="","",Team3!C22)</f>
        <v>Myia Mc Clamont</v>
      </c>
      <c r="D27" s="91" t="str">
        <f>IF(Team3!D22="","",Team3!D22)</f>
        <v>Fiona O Neill</v>
      </c>
      <c r="E27" s="103"/>
      <c r="F27" s="103"/>
      <c r="G27" s="103"/>
      <c r="H27" s="21">
        <v>22</v>
      </c>
      <c r="I27" s="96" t="s">
        <v>66</v>
      </c>
      <c r="J27" s="91" t="str">
        <f>IF(Team3!G22="","",Team3!G22)</f>
        <v>Tom Cormie</v>
      </c>
      <c r="K27" s="91" t="str">
        <f>IF(Team3!H22="","",Team3!H22)</f>
        <v>Henry Connell</v>
      </c>
      <c r="L27" s="103"/>
      <c r="M27" s="103"/>
      <c r="N27" s="103"/>
      <c r="O27" s="8"/>
      <c r="P27" s="24"/>
    </row>
    <row r="28" spans="1:16" ht="15" customHeight="1" x14ac:dyDescent="0.2">
      <c r="A28" s="22">
        <v>23</v>
      </c>
      <c r="B28" s="97" t="s">
        <v>88</v>
      </c>
      <c r="C28" s="92" t="str">
        <f>IF(Team3!C23="","",Team3!C23)</f>
        <v>Alice Caldwell</v>
      </c>
      <c r="D28" s="92" t="str">
        <f>IF(Team3!D23="","",Team3!D23)</f>
        <v>Katie Keown</v>
      </c>
      <c r="E28" s="101"/>
      <c r="F28" s="101"/>
      <c r="G28" s="101"/>
      <c r="H28" s="22">
        <v>24</v>
      </c>
      <c r="I28" s="97" t="s">
        <v>67</v>
      </c>
      <c r="J28" s="92" t="str">
        <f>IF(Team3!G23="","",Team3!G23)</f>
        <v>Sam Staats Howard</v>
      </c>
      <c r="K28" s="92" t="str">
        <f>IF(Team3!H23="","",Team3!H23)</f>
        <v>Kevin Mc Macken</v>
      </c>
      <c r="L28" s="101"/>
      <c r="M28" s="101"/>
      <c r="N28" s="101"/>
      <c r="O28" s="8"/>
      <c r="P28" s="24"/>
    </row>
    <row r="29" spans="1:16" ht="15" customHeight="1" x14ac:dyDescent="0.2">
      <c r="A29" s="22">
        <v>25</v>
      </c>
      <c r="B29" s="97" t="s">
        <v>89</v>
      </c>
      <c r="C29" s="92" t="str">
        <f>IF(Team3!C24="","",Team3!C24)</f>
        <v>Anna Mc Gookin</v>
      </c>
      <c r="D29" s="92" t="str">
        <f>IF(Team3!D24="","",Team3!D24)</f>
        <v>Brooke Mc Clamont</v>
      </c>
      <c r="E29" s="101"/>
      <c r="F29" s="101"/>
      <c r="G29" s="101"/>
      <c r="H29" s="22">
        <v>26</v>
      </c>
      <c r="I29" s="97" t="s">
        <v>68</v>
      </c>
      <c r="J29" s="92" t="str">
        <f>IF(Team3!G24="","",Team3!G24)</f>
        <v>Cailean Gallagher</v>
      </c>
      <c r="K29" s="92" t="str">
        <f>IF(Team3!H24="","",Team3!H24)</f>
        <v>Oliver Smith</v>
      </c>
      <c r="L29" s="101"/>
      <c r="M29" s="101"/>
      <c r="N29" s="101"/>
      <c r="O29" s="8"/>
      <c r="P29" s="24"/>
    </row>
    <row r="30" spans="1:16" ht="15.95" customHeight="1" thickBot="1" x14ac:dyDescent="0.25">
      <c r="A30" s="23">
        <v>27</v>
      </c>
      <c r="B30" s="98" t="s">
        <v>90</v>
      </c>
      <c r="C30" s="93" t="str">
        <f>IF(Team3!C25="","",Team3!C25)</f>
        <v>Abbi Craig</v>
      </c>
      <c r="D30" s="93" t="str">
        <f>IF(Team3!D25="","",Team3!D25)</f>
        <v>Emily Butcher</v>
      </c>
      <c r="E30" s="102"/>
      <c r="F30" s="102"/>
      <c r="G30" s="102"/>
      <c r="H30" s="23">
        <v>28</v>
      </c>
      <c r="I30" s="98" t="s">
        <v>69</v>
      </c>
      <c r="J30" s="93" t="str">
        <f>IF(Team3!G25="","",Team3!G25)</f>
        <v>Joshua Hunt</v>
      </c>
      <c r="K30" s="93" t="str">
        <f>IF(Team3!H25="","",Team3!H25)</f>
        <v>Darragh Mc Cann-Kennedy</v>
      </c>
      <c r="L30" s="102"/>
      <c r="M30" s="102"/>
      <c r="N30" s="102"/>
      <c r="O30" s="8"/>
      <c r="P30" s="9"/>
    </row>
    <row r="31" spans="1:16" ht="15.95" customHeight="1" thickBot="1" x14ac:dyDescent="0.25">
      <c r="A31" s="163"/>
      <c r="B31" s="164"/>
      <c r="C31" s="165"/>
      <c r="D31" s="168" t="s">
        <v>118</v>
      </c>
      <c r="E31" s="166"/>
      <c r="F31" s="166"/>
      <c r="G31" s="166"/>
      <c r="H31" s="167"/>
      <c r="I31" s="164"/>
      <c r="J31" s="165"/>
      <c r="K31" s="169" t="s">
        <v>115</v>
      </c>
      <c r="L31" s="166"/>
      <c r="M31" s="166"/>
      <c r="N31" s="166"/>
      <c r="O31" s="8"/>
      <c r="P31" s="9"/>
    </row>
    <row r="32" spans="1:16" ht="15.95" customHeight="1" thickBot="1" x14ac:dyDescent="0.25">
      <c r="A32" s="137"/>
      <c r="B32" s="138"/>
      <c r="C32" s="139"/>
      <c r="D32" s="139"/>
      <c r="E32" s="139"/>
      <c r="F32" s="139"/>
      <c r="G32" s="139"/>
      <c r="H32" s="139"/>
      <c r="I32" s="138"/>
      <c r="J32" s="139"/>
      <c r="K32" s="151" t="s">
        <v>98</v>
      </c>
      <c r="L32" s="116"/>
      <c r="M32" s="116"/>
      <c r="N32" s="116"/>
      <c r="O32" s="8"/>
      <c r="P32" s="9"/>
    </row>
    <row r="33" spans="1:16" ht="15" customHeight="1" x14ac:dyDescent="0.2">
      <c r="A33" s="21">
        <v>29</v>
      </c>
      <c r="B33" s="96" t="s">
        <v>91</v>
      </c>
      <c r="C33" s="91" t="str">
        <f>IF(Team3!C26="","",Team3!C26)</f>
        <v>Myia Mc Clamont</v>
      </c>
      <c r="D33" s="91" t="str">
        <f>IF(Team3!D26="","",Team3!D26)</f>
        <v>Fiona O Neill</v>
      </c>
      <c r="E33" s="103"/>
      <c r="F33" s="103"/>
      <c r="G33" s="103"/>
      <c r="H33" s="21">
        <v>30</v>
      </c>
      <c r="I33" s="96" t="s">
        <v>70</v>
      </c>
      <c r="J33" s="91" t="str">
        <f>IF(Team3!G26="","",Team3!G26)</f>
        <v>Tom Cormie</v>
      </c>
      <c r="K33" s="91" t="str">
        <f>IF(Team3!H26="","",Team3!H26)</f>
        <v>Eoin Mc Alinden</v>
      </c>
      <c r="L33" s="103"/>
      <c r="M33" s="103"/>
      <c r="N33" s="103"/>
      <c r="O33" s="8"/>
      <c r="P33" s="9"/>
    </row>
    <row r="34" spans="1:16" ht="15" customHeight="1" x14ac:dyDescent="0.2">
      <c r="A34" s="22">
        <v>31</v>
      </c>
      <c r="B34" s="97" t="s">
        <v>92</v>
      </c>
      <c r="C34" s="92" t="str">
        <f>IF(Team3!C27="","",Team3!C27)</f>
        <v>Alice Caldwell</v>
      </c>
      <c r="D34" s="92" t="str">
        <f>IF(Team3!D27="","",Team3!D27)</f>
        <v>Katie Keown</v>
      </c>
      <c r="E34" s="101"/>
      <c r="F34" s="101"/>
      <c r="G34" s="101"/>
      <c r="H34" s="22">
        <v>32</v>
      </c>
      <c r="I34" s="97" t="s">
        <v>71</v>
      </c>
      <c r="J34" s="92" t="str">
        <f>IF(Team3!G27="","",Team3!G27)</f>
        <v>Kevin Mc Macken</v>
      </c>
      <c r="K34" s="92" t="str">
        <f>IF(Team3!H27="","",Team3!H27)</f>
        <v>Sam Staats Howard</v>
      </c>
      <c r="L34" s="101"/>
      <c r="M34" s="101"/>
      <c r="N34" s="101"/>
      <c r="O34" s="8"/>
      <c r="P34" s="9"/>
    </row>
    <row r="35" spans="1:16" ht="15" customHeight="1" x14ac:dyDescent="0.2">
      <c r="A35" s="22">
        <v>33</v>
      </c>
      <c r="B35" s="97" t="s">
        <v>93</v>
      </c>
      <c r="C35" s="92" t="str">
        <f>IF(Team3!C28="","",Team3!C28)</f>
        <v>Anna Mc Gookin</v>
      </c>
      <c r="D35" s="92" t="str">
        <f>IF(Team3!D28="","",Team3!D28)</f>
        <v>Brooke Mc Clamont</v>
      </c>
      <c r="E35" s="101"/>
      <c r="F35" s="101"/>
      <c r="G35" s="101"/>
      <c r="H35" s="22">
        <v>34</v>
      </c>
      <c r="I35" s="97" t="s">
        <v>72</v>
      </c>
      <c r="J35" s="92" t="str">
        <f>IF(Team3!G28="","",Team3!G28)</f>
        <v>Cailean Gallagher</v>
      </c>
      <c r="K35" s="92" t="str">
        <f>IF(Team3!H28="","",Team3!H28)</f>
        <v>Oliver Smith</v>
      </c>
      <c r="L35" s="101"/>
      <c r="M35" s="101"/>
      <c r="N35" s="101"/>
      <c r="O35" s="8"/>
      <c r="P35" s="9"/>
    </row>
    <row r="36" spans="1:16" ht="15.95" customHeight="1" thickBot="1" x14ac:dyDescent="0.25">
      <c r="A36" s="23">
        <v>35</v>
      </c>
      <c r="B36" s="98" t="s">
        <v>94</v>
      </c>
      <c r="C36" s="93" t="str">
        <f>IF(Team3!C29="","",Team3!C29)</f>
        <v>Abbi Craig</v>
      </c>
      <c r="D36" s="93" t="str">
        <f>IF(Team3!D29="","",Team3!D29)</f>
        <v>Emily Butcher</v>
      </c>
      <c r="E36" s="102"/>
      <c r="F36" s="102"/>
      <c r="G36" s="102"/>
      <c r="H36" s="23">
        <v>36</v>
      </c>
      <c r="I36" s="98" t="s">
        <v>73</v>
      </c>
      <c r="J36" s="93" t="str">
        <f>IF(Team3!G29="","",Team3!G29)</f>
        <v>Ben Dinsmore</v>
      </c>
      <c r="K36" s="93" t="str">
        <f>IF(Team3!H29="","",Team3!H29)</f>
        <v>Jude Williams</v>
      </c>
      <c r="L36" s="102"/>
      <c r="M36" s="102"/>
      <c r="N36" s="102"/>
      <c r="O36" s="8"/>
      <c r="P36" s="9"/>
    </row>
    <row r="37" spans="1:16" ht="15.95" customHeight="1" thickBot="1" x14ac:dyDescent="0.25">
      <c r="A37" s="163"/>
      <c r="B37" s="164"/>
      <c r="C37" s="165"/>
      <c r="D37" s="168" t="s">
        <v>117</v>
      </c>
      <c r="E37" s="166"/>
      <c r="F37" s="166"/>
      <c r="G37" s="166"/>
      <c r="H37" s="167"/>
      <c r="I37" s="164"/>
      <c r="J37" s="165"/>
      <c r="K37" s="169" t="s">
        <v>116</v>
      </c>
      <c r="L37" s="166"/>
      <c r="M37" s="166"/>
      <c r="N37" s="166"/>
      <c r="O37" s="8"/>
      <c r="P37" s="9"/>
    </row>
    <row r="38" spans="1:16" ht="15.95" customHeight="1" thickBot="1" x14ac:dyDescent="0.25">
      <c r="A38" s="137"/>
      <c r="B38" s="138"/>
      <c r="C38" s="139"/>
      <c r="D38" s="139"/>
      <c r="E38" s="139"/>
      <c r="F38" s="139"/>
      <c r="G38" s="139"/>
      <c r="H38" s="139"/>
      <c r="I38" s="138"/>
      <c r="J38" s="139"/>
      <c r="K38" s="151" t="s">
        <v>99</v>
      </c>
      <c r="L38" s="116"/>
      <c r="M38" s="116"/>
      <c r="N38" s="116"/>
      <c r="O38" s="8"/>
      <c r="P38" s="9"/>
    </row>
    <row r="39" spans="1:16" ht="15" customHeight="1" x14ac:dyDescent="0.2">
      <c r="A39" s="252">
        <v>37</v>
      </c>
      <c r="B39" s="246" t="s">
        <v>9</v>
      </c>
      <c r="C39" s="104" t="str">
        <f>IF(Team3!C30="","",Team3!C30)</f>
        <v>Myia Mc Clamont</v>
      </c>
      <c r="D39" s="91" t="str">
        <f>IF(Team3!D30="","",Team3!D30)</f>
        <v>Caelyn O Connor</v>
      </c>
      <c r="E39" s="117"/>
      <c r="F39" s="117"/>
      <c r="G39" s="117"/>
      <c r="H39" s="252">
        <v>38</v>
      </c>
      <c r="I39" s="246" t="s">
        <v>10</v>
      </c>
      <c r="J39" s="91" t="str">
        <f>IF(Team3!G30="","",Team3!G30)</f>
        <v>Kevin Mc Macken</v>
      </c>
      <c r="K39" s="91" t="str">
        <f>IF(Team3!H30="","",Team3!H30)</f>
        <v>Eva Campbell</v>
      </c>
      <c r="L39" s="117"/>
      <c r="M39" s="117"/>
      <c r="N39" s="117"/>
      <c r="O39" s="8"/>
      <c r="P39" s="9"/>
    </row>
    <row r="40" spans="1:16" ht="15" customHeight="1" x14ac:dyDescent="0.2">
      <c r="A40" s="253"/>
      <c r="B40" s="247"/>
      <c r="C40" s="129" t="str">
        <f>IF(Team3!C31="","",Team3!C31)</f>
        <v>Eoin Mc Alinden</v>
      </c>
      <c r="D40" s="127" t="str">
        <f>IF(Team3!D31="","",Team3!D31)</f>
        <v>Harry Butcher</v>
      </c>
      <c r="E40" s="116"/>
      <c r="F40" s="116"/>
      <c r="G40" s="116"/>
      <c r="H40" s="253"/>
      <c r="I40" s="247"/>
      <c r="J40" s="127" t="str">
        <f>IF(Team3!G31="","",Team3!G31)</f>
        <v>Katie Keown</v>
      </c>
      <c r="K40" s="127" t="str">
        <f>IF(Team3!H31="","",Team3!H31)</f>
        <v>Sofie Halcrow</v>
      </c>
      <c r="L40" s="116"/>
      <c r="M40" s="116"/>
      <c r="N40" s="116"/>
      <c r="O40" s="8"/>
      <c r="P40" s="9"/>
    </row>
    <row r="41" spans="1:16" ht="15" customHeight="1" x14ac:dyDescent="0.2">
      <c r="A41" s="253"/>
      <c r="B41" s="247"/>
      <c r="C41" s="105" t="str">
        <f>IF(Team3!C32="","",Team3!C32)</f>
        <v>Fiona O Neill</v>
      </c>
      <c r="D41" s="92" t="str">
        <f>IF(Team3!D32="","",Team3!D32)</f>
        <v>Ella Laird</v>
      </c>
      <c r="E41" s="116"/>
      <c r="F41" s="116"/>
      <c r="G41" s="116"/>
      <c r="H41" s="253"/>
      <c r="I41" s="247"/>
      <c r="J41" s="92" t="str">
        <f>IF(Team3!G32="","",Team3!G32)</f>
        <v>Alice Caldwell</v>
      </c>
      <c r="K41" s="92" t="str">
        <f>IF(Team3!H32="","",Team3!H32)</f>
        <v>Toby Dinsmore</v>
      </c>
      <c r="L41" s="116"/>
      <c r="M41" s="116"/>
      <c r="N41" s="116"/>
      <c r="O41" s="8"/>
      <c r="P41" s="9"/>
    </row>
    <row r="42" spans="1:16" ht="15.95" customHeight="1" thickBot="1" x14ac:dyDescent="0.25">
      <c r="A42" s="254"/>
      <c r="B42" s="248"/>
      <c r="C42" s="130" t="str">
        <f>IF(Team3!C33="","",Team3!C33)</f>
        <v>Tom Cormie</v>
      </c>
      <c r="D42" s="128" t="str">
        <f>IF(Team3!D33="","",Team3!D33)</f>
        <v>Ollie Mc Macken</v>
      </c>
      <c r="E42" s="118"/>
      <c r="F42" s="118"/>
      <c r="G42" s="118"/>
      <c r="H42" s="254"/>
      <c r="I42" s="248"/>
      <c r="J42" s="128" t="str">
        <f>IF(Team3!G33="","",Team3!G33)</f>
        <v>Sam Staats Howard</v>
      </c>
      <c r="K42" s="128" t="str">
        <f>IF(Team3!H33="","",Team3!H33)</f>
        <v>Cody Blair</v>
      </c>
      <c r="L42" s="118"/>
      <c r="M42" s="118"/>
      <c r="N42" s="118"/>
      <c r="O42" s="8"/>
      <c r="P42" s="9"/>
    </row>
    <row r="43" spans="1:16" ht="15" customHeight="1" x14ac:dyDescent="0.2">
      <c r="A43" s="252">
        <v>39</v>
      </c>
      <c r="B43" s="246" t="s">
        <v>11</v>
      </c>
      <c r="C43" s="91" t="str">
        <f>IF(Team3!C34="","",Team3!C34)</f>
        <v>Anna Mc Gookin</v>
      </c>
      <c r="D43" s="91" t="str">
        <f>IF(Team3!D34="","",Team3!D34)</f>
        <v>Amy Mc Gurk</v>
      </c>
      <c r="E43" s="117"/>
      <c r="F43" s="117"/>
      <c r="G43" s="117"/>
      <c r="H43" s="252">
        <v>40</v>
      </c>
      <c r="I43" s="246" t="s">
        <v>12</v>
      </c>
      <c r="J43" s="91" t="str">
        <f>IF(Team3!G34="","",Team3!G34)</f>
        <v>Abbi Craig</v>
      </c>
      <c r="K43" s="91" t="str">
        <f>IF(Team3!H34="","",Team3!H34)</f>
        <v>Caleb Craig</v>
      </c>
      <c r="L43" s="117"/>
      <c r="M43" s="117"/>
      <c r="N43" s="117"/>
      <c r="O43" s="8"/>
      <c r="P43" s="9"/>
    </row>
    <row r="44" spans="1:16" ht="15" customHeight="1" x14ac:dyDescent="0.2">
      <c r="A44" s="253"/>
      <c r="B44" s="247"/>
      <c r="C44" s="132" t="str">
        <f>IF(Team3!C35="","",Team3!C35)</f>
        <v>Brooke Mc Clamont</v>
      </c>
      <c r="D44" s="132" t="str">
        <f>IF(Team3!D35="","",Team3!D35)</f>
        <v>Amelia Kingston</v>
      </c>
      <c r="E44" s="116"/>
      <c r="F44" s="116"/>
      <c r="G44" s="116"/>
      <c r="H44" s="253"/>
      <c r="I44" s="247"/>
      <c r="J44" s="132" t="str">
        <f>IF(Team3!G35="","",Team3!G35)</f>
        <v>Ben Dinsmore</v>
      </c>
      <c r="K44" s="132" t="str">
        <f>IF(Team3!H35="","",Team3!H35)</f>
        <v>Cara Gallagher</v>
      </c>
      <c r="L44" s="116"/>
      <c r="M44" s="116"/>
      <c r="N44" s="116"/>
      <c r="O44" s="8"/>
      <c r="P44" s="9"/>
    </row>
    <row r="45" spans="1:16" ht="15" customHeight="1" x14ac:dyDescent="0.2">
      <c r="A45" s="253"/>
      <c r="B45" s="247"/>
      <c r="C45" s="92" t="str">
        <f>IF(Team3!C36="","",Team3!C36)</f>
        <v>Oliver Smith</v>
      </c>
      <c r="D45" s="92" t="str">
        <f>IF(Team3!D36="","",Team3!D36)</f>
        <v>Lewis Robinson</v>
      </c>
      <c r="E45" s="116"/>
      <c r="F45" s="116"/>
      <c r="G45" s="116"/>
      <c r="H45" s="253"/>
      <c r="I45" s="247"/>
      <c r="J45" s="92" t="str">
        <f>IF(Team3!G36="","",Team3!G36)</f>
        <v>Emily Butcher</v>
      </c>
      <c r="K45" s="92" t="str">
        <f>IF(Team3!H36="","",Team3!H36)</f>
        <v>Jude Williams</v>
      </c>
      <c r="L45" s="116"/>
      <c r="M45" s="116"/>
      <c r="N45" s="116"/>
      <c r="O45" s="8"/>
      <c r="P45" s="9"/>
    </row>
    <row r="46" spans="1:16" ht="15.95" customHeight="1" thickBot="1" x14ac:dyDescent="0.25">
      <c r="A46" s="254"/>
      <c r="B46" s="248"/>
      <c r="C46" s="134" t="str">
        <f>IF(Team3!C37="","",Team3!C37)</f>
        <v>Cailean Gallagher</v>
      </c>
      <c r="D46" s="134" t="str">
        <f>IF(Team3!D37="","",Team3!D37)</f>
        <v>Tom Mc Shane</v>
      </c>
      <c r="E46" s="118"/>
      <c r="F46" s="118"/>
      <c r="G46" s="118"/>
      <c r="H46" s="254"/>
      <c r="I46" s="248"/>
      <c r="J46" s="134" t="str">
        <f>IF(Team3!G37="","",Team3!G37)</f>
        <v>Darragh Mc Cann-Kennedy</v>
      </c>
      <c r="K46" s="134" t="str">
        <f>IF(Team3!H37="","",Team3!H37)</f>
        <v>Annaleece Heatherington</v>
      </c>
      <c r="L46" s="118"/>
      <c r="M46" s="118"/>
      <c r="N46" s="118"/>
      <c r="O46" s="8"/>
      <c r="P46" s="9"/>
    </row>
    <row r="47" spans="1:16" ht="15.95" customHeight="1" thickBot="1" x14ac:dyDescent="0.25">
      <c r="A47" s="137"/>
      <c r="B47" s="138"/>
      <c r="C47" s="139"/>
      <c r="D47" s="139"/>
      <c r="E47" s="139"/>
      <c r="F47" s="139"/>
      <c r="G47" s="139"/>
      <c r="H47" s="139"/>
      <c r="I47" s="138"/>
      <c r="J47" s="139"/>
      <c r="K47" s="142" t="s">
        <v>40</v>
      </c>
      <c r="L47" s="140"/>
      <c r="M47" s="140"/>
      <c r="N47" s="141"/>
      <c r="O47" s="8"/>
      <c r="P47" s="9"/>
    </row>
    <row r="48" spans="1:16" ht="12" customHeight="1" x14ac:dyDescent="0.2">
      <c r="A48" s="25"/>
      <c r="B48" s="26"/>
      <c r="C48" s="26"/>
      <c r="D48" s="27"/>
      <c r="E48" s="26"/>
      <c r="F48" s="26"/>
      <c r="G48" s="26"/>
      <c r="H48" s="26"/>
      <c r="I48" s="26"/>
      <c r="J48" s="26"/>
      <c r="K48" s="26"/>
      <c r="L48" s="28"/>
      <c r="M48" s="28"/>
      <c r="N48" s="28"/>
      <c r="O48" s="28"/>
      <c r="P48" s="9"/>
    </row>
    <row r="49" spans="1:16" ht="12" customHeight="1" x14ac:dyDescent="0.2">
      <c r="A49" s="29"/>
      <c r="B49" s="28"/>
      <c r="C49" s="28"/>
      <c r="D49" s="30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9"/>
    </row>
    <row r="50" spans="1:16" ht="12" customHeight="1" x14ac:dyDescent="0.2">
      <c r="A50" s="29"/>
      <c r="B50" s="28"/>
      <c r="C50" s="31"/>
      <c r="D50" s="30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9"/>
    </row>
    <row r="51" spans="1:16" ht="12" customHeight="1" x14ac:dyDescent="0.2">
      <c r="A51" s="29"/>
      <c r="B51" s="28"/>
      <c r="C51" s="31"/>
      <c r="D51" s="30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9"/>
    </row>
    <row r="52" spans="1:16" ht="12" customHeight="1" x14ac:dyDescent="0.2">
      <c r="A52" s="29"/>
      <c r="B52" s="28"/>
      <c r="C52" s="31"/>
      <c r="D52" s="30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9"/>
    </row>
    <row r="53" spans="1:16" ht="12" customHeight="1" x14ac:dyDescent="0.2">
      <c r="A53" s="29"/>
      <c r="B53" s="28"/>
      <c r="C53" s="31"/>
      <c r="D53" s="30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9"/>
    </row>
    <row r="54" spans="1:16" ht="12" customHeight="1" x14ac:dyDescent="0.2">
      <c r="A54" s="29"/>
      <c r="B54" s="28"/>
      <c r="C54" s="31"/>
      <c r="D54" s="30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9"/>
    </row>
    <row r="55" spans="1:16" ht="12" customHeight="1" x14ac:dyDescent="0.2">
      <c r="A55" s="32"/>
      <c r="B55" s="33"/>
      <c r="C55" s="34"/>
      <c r="D55" s="35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6"/>
    </row>
  </sheetData>
  <mergeCells count="18">
    <mergeCell ref="A2:N2"/>
    <mergeCell ref="C4:D4"/>
    <mergeCell ref="A6:A9"/>
    <mergeCell ref="B6:B9"/>
    <mergeCell ref="H6:H9"/>
    <mergeCell ref="I6:I9"/>
    <mergeCell ref="A43:A46"/>
    <mergeCell ref="B43:B46"/>
    <mergeCell ref="H43:H46"/>
    <mergeCell ref="I43:I46"/>
    <mergeCell ref="A10:A13"/>
    <mergeCell ref="B10:B13"/>
    <mergeCell ref="H10:H13"/>
    <mergeCell ref="I10:I13"/>
    <mergeCell ref="A39:A42"/>
    <mergeCell ref="B39:B42"/>
    <mergeCell ref="H39:H42"/>
    <mergeCell ref="I39:I42"/>
  </mergeCells>
  <conditionalFormatting sqref="C4 J4">
    <cfRule type="cellIs" dxfId="0" priority="1" stopIfTrue="1" operator="equal">
      <formula>"Lurgan"</formula>
    </cfRule>
  </conditionalFormatting>
  <pageMargins left="0" right="0" top="0" bottom="0" header="0" footer="0"/>
  <pageSetup paperSize="9" scale="82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C000"/>
    <pageSetUpPr fitToPage="1"/>
  </sheetPr>
  <dimension ref="A1:IT354"/>
  <sheetViews>
    <sheetView showGridLines="0" tabSelected="1" zoomScaleNormal="100" zoomScaleSheetLayoutView="90" workbookViewId="0">
      <pane ySplit="6" topLeftCell="A73" activePane="bottomLeft" state="frozen"/>
      <selection pane="bottomLeft" activeCell="C94" sqref="C94"/>
    </sheetView>
  </sheetViews>
  <sheetFormatPr defaultColWidth="6.59765625" defaultRowHeight="12" customHeight="1" x14ac:dyDescent="0.2"/>
  <cols>
    <col min="1" max="1" width="6.8984375" style="40" customWidth="1"/>
    <col min="2" max="2" width="7.59765625" style="185" customWidth="1"/>
    <col min="3" max="3" width="7" style="40" customWidth="1"/>
    <col min="4" max="4" width="6.8984375" style="40" customWidth="1"/>
    <col min="5" max="5" width="9.59765625" style="40" customWidth="1"/>
    <col min="6" max="6" width="6.59765625" style="40" customWidth="1"/>
    <col min="7" max="7" width="6.8984375" style="40" customWidth="1"/>
    <col min="8" max="8" width="6.8984375" style="90" customWidth="1"/>
    <col min="9" max="11" width="6.8984375" style="193" customWidth="1"/>
    <col min="12" max="12" width="6.59765625" style="40" customWidth="1"/>
    <col min="13" max="13" width="6.59765625" style="90" customWidth="1"/>
    <col min="14" max="254" width="6.59765625" style="40" customWidth="1"/>
  </cols>
  <sheetData>
    <row r="1" spans="1:11" ht="8.1" customHeight="1" x14ac:dyDescent="0.2">
      <c r="A1" s="28"/>
      <c r="B1" s="177"/>
      <c r="C1" s="28"/>
      <c r="D1" s="28"/>
      <c r="E1" s="28"/>
      <c r="F1" s="28"/>
      <c r="G1" s="28"/>
      <c r="H1" s="28"/>
      <c r="I1" s="186"/>
      <c r="J1" s="186"/>
      <c r="K1" s="186"/>
    </row>
    <row r="2" spans="1:11" ht="15" customHeight="1" x14ac:dyDescent="0.25">
      <c r="A2" s="28"/>
      <c r="B2" s="41"/>
      <c r="C2" s="28"/>
      <c r="D2" s="28"/>
      <c r="E2" s="187" t="s">
        <v>140</v>
      </c>
      <c r="F2" s="28"/>
      <c r="G2" s="28"/>
      <c r="H2" s="28"/>
      <c r="I2" s="186"/>
      <c r="J2" s="186"/>
      <c r="K2" s="186"/>
    </row>
    <row r="3" spans="1:11" ht="7.5" customHeight="1" x14ac:dyDescent="0.25">
      <c r="A3" s="28"/>
      <c r="B3" s="178"/>
      <c r="C3" s="28"/>
      <c r="D3" s="28"/>
      <c r="E3" s="28"/>
      <c r="F3" s="28"/>
      <c r="G3" s="28"/>
      <c r="H3" s="28"/>
      <c r="I3" s="186"/>
      <c r="J3" s="186"/>
      <c r="K3" s="186"/>
    </row>
    <row r="4" spans="1:11" ht="15" customHeight="1" x14ac:dyDescent="0.25">
      <c r="A4" s="28"/>
      <c r="B4" s="350" t="str">
        <f>Team1!C4&amp;" Vs. "&amp;Team2!C4&amp;" Vs. "&amp;Team3!C4</f>
        <v>Coleraine Vs. Lisburn Vs. Limavady</v>
      </c>
      <c r="C4" s="351"/>
      <c r="D4" s="351"/>
      <c r="E4" s="351"/>
      <c r="F4" s="351"/>
      <c r="G4" s="351"/>
      <c r="H4" s="351"/>
      <c r="I4" s="351"/>
      <c r="J4" s="176"/>
      <c r="K4" s="186"/>
    </row>
    <row r="5" spans="1:11" ht="15.75" x14ac:dyDescent="0.25">
      <c r="A5" s="28"/>
      <c r="B5" s="178"/>
      <c r="C5" s="177" t="str">
        <f>Team2!C4</f>
        <v>Lisburn</v>
      </c>
      <c r="D5" s="28"/>
      <c r="E5" s="28"/>
      <c r="F5" s="177" t="str">
        <f>Team3!C4</f>
        <v>Limavady</v>
      </c>
      <c r="G5" s="28"/>
      <c r="H5" s="28"/>
      <c r="I5" s="186"/>
      <c r="J5" s="176" t="str">
        <f>Team1!C4</f>
        <v>Coleraine</v>
      </c>
      <c r="K5" s="186"/>
    </row>
    <row r="6" spans="1:11" ht="15" customHeight="1" x14ac:dyDescent="0.25">
      <c r="A6" s="44" t="s">
        <v>15</v>
      </c>
      <c r="B6" s="178"/>
      <c r="C6" s="159">
        <f>I354</f>
        <v>324</v>
      </c>
      <c r="D6" s="43" t="s">
        <v>16</v>
      </c>
      <c r="E6" s="28"/>
      <c r="F6" s="159">
        <f>J354</f>
        <v>246</v>
      </c>
      <c r="G6" s="42" t="s">
        <v>16</v>
      </c>
      <c r="H6" s="42"/>
      <c r="I6" s="186"/>
      <c r="J6" s="176">
        <f>K354</f>
        <v>270</v>
      </c>
      <c r="K6" s="186" t="s">
        <v>16</v>
      </c>
    </row>
    <row r="7" spans="1:11" ht="15" customHeight="1" x14ac:dyDescent="0.25">
      <c r="A7" s="28"/>
      <c r="B7" s="178"/>
      <c r="C7" s="28"/>
      <c r="D7" s="28"/>
      <c r="E7" s="28"/>
      <c r="F7" s="28"/>
      <c r="G7" s="28"/>
      <c r="H7" s="28"/>
      <c r="I7" s="186"/>
      <c r="J7" s="186"/>
      <c r="K7" s="186"/>
    </row>
    <row r="8" spans="1:11" ht="12" customHeight="1" x14ac:dyDescent="0.2">
      <c r="A8" s="44" t="s">
        <v>17</v>
      </c>
      <c r="B8" s="179">
        <v>42888</v>
      </c>
      <c r="C8" s="28"/>
      <c r="D8" s="28"/>
      <c r="E8" s="28"/>
      <c r="F8" s="28"/>
      <c r="G8" s="44" t="s">
        <v>18</v>
      </c>
      <c r="H8" s="44" t="s">
        <v>139</v>
      </c>
      <c r="I8" s="188"/>
      <c r="J8" s="188"/>
      <c r="K8" s="186"/>
    </row>
    <row r="9" spans="1:11" ht="10.5" customHeight="1" x14ac:dyDescent="0.2">
      <c r="A9" s="45"/>
      <c r="B9" s="177"/>
      <c r="C9" s="28"/>
      <c r="D9" s="28"/>
      <c r="E9" s="28"/>
      <c r="F9" s="28"/>
      <c r="G9" s="45"/>
      <c r="H9" s="45"/>
      <c r="I9" s="186"/>
      <c r="J9" s="186"/>
      <c r="K9" s="186"/>
    </row>
    <row r="10" spans="1:11" ht="15.75" x14ac:dyDescent="0.25">
      <c r="A10" s="336" t="s">
        <v>19</v>
      </c>
      <c r="B10" s="337"/>
      <c r="C10" s="337"/>
      <c r="D10" s="337"/>
      <c r="E10" s="337"/>
      <c r="F10" s="337"/>
      <c r="G10" s="337"/>
      <c r="H10" s="337"/>
      <c r="I10" s="337"/>
      <c r="J10" s="337"/>
      <c r="K10" s="337"/>
    </row>
    <row r="11" spans="1:11" ht="10.5" customHeight="1" thickBot="1" x14ac:dyDescent="0.3">
      <c r="A11" s="46"/>
      <c r="B11" s="180"/>
      <c r="C11" s="47"/>
      <c r="D11" s="48"/>
      <c r="E11" s="47"/>
      <c r="F11" s="46"/>
      <c r="G11" s="46"/>
      <c r="H11" s="46"/>
      <c r="I11" s="213"/>
      <c r="J11" s="213"/>
      <c r="K11" s="213"/>
    </row>
    <row r="12" spans="1:11" ht="15.75" x14ac:dyDescent="0.25">
      <c r="A12" s="49" t="s">
        <v>1</v>
      </c>
      <c r="B12" s="50" t="s">
        <v>20</v>
      </c>
      <c r="C12" s="50" t="s">
        <v>21</v>
      </c>
      <c r="D12" s="355" t="s">
        <v>22</v>
      </c>
      <c r="E12" s="356"/>
      <c r="F12" s="49" t="s">
        <v>23</v>
      </c>
      <c r="G12" s="50" t="s">
        <v>24</v>
      </c>
      <c r="H12" s="145" t="s">
        <v>16</v>
      </c>
      <c r="I12" s="352" t="s">
        <v>16</v>
      </c>
      <c r="J12" s="353"/>
      <c r="K12" s="354"/>
    </row>
    <row r="13" spans="1:11" ht="16.5" thickBot="1" x14ac:dyDescent="0.3">
      <c r="A13" s="51"/>
      <c r="B13" s="95"/>
      <c r="C13" s="52"/>
      <c r="D13" s="53"/>
      <c r="E13" s="54"/>
      <c r="F13" s="55"/>
      <c r="G13" s="52"/>
      <c r="H13" s="56"/>
      <c r="I13" s="214"/>
      <c r="J13" s="213"/>
      <c r="K13" s="215"/>
    </row>
    <row r="14" spans="1:11" ht="15.75" x14ac:dyDescent="0.25">
      <c r="A14" s="49"/>
      <c r="B14" s="266" t="str">
        <f>Team2!$C$4</f>
        <v>Lisburn</v>
      </c>
      <c r="C14" s="263">
        <v>4</v>
      </c>
      <c r="D14" s="334" t="str">
        <f>IF(Team2!C6="","",Team2!C6)</f>
        <v>Meave Murphy</v>
      </c>
      <c r="E14" s="335"/>
      <c r="F14" s="285" t="s">
        <v>286</v>
      </c>
      <c r="G14" s="321">
        <v>1</v>
      </c>
      <c r="H14" s="332">
        <f>IF(G14="","",IF(G14=1,11, IF(G14=2,7,3)))</f>
        <v>11</v>
      </c>
      <c r="I14" s="329">
        <f>H14</f>
        <v>11</v>
      </c>
      <c r="J14" s="317"/>
      <c r="K14" s="327"/>
    </row>
    <row r="15" spans="1:11" ht="15.75" x14ac:dyDescent="0.25">
      <c r="A15" s="57"/>
      <c r="B15" s="267"/>
      <c r="C15" s="264"/>
      <c r="D15" s="283" t="str">
        <f>IF(Team2!C7="","",Team2!C7)</f>
        <v>Ross Gray</v>
      </c>
      <c r="E15" s="284"/>
      <c r="F15" s="286"/>
      <c r="G15" s="274"/>
      <c r="H15" s="276"/>
      <c r="I15" s="330"/>
      <c r="J15" s="270"/>
      <c r="K15" s="328"/>
    </row>
    <row r="16" spans="1:11" ht="15.75" x14ac:dyDescent="0.25">
      <c r="A16" s="57"/>
      <c r="B16" s="267"/>
      <c r="C16" s="264"/>
      <c r="D16" s="283" t="str">
        <f>IF(Team2!C8="","",Team2!C8)</f>
        <v>Harry McGlashen</v>
      </c>
      <c r="E16" s="284"/>
      <c r="F16" s="286"/>
      <c r="G16" s="274"/>
      <c r="H16" s="276"/>
      <c r="I16" s="330"/>
      <c r="J16" s="270"/>
      <c r="K16" s="328"/>
    </row>
    <row r="17" spans="1:254" ht="15.75" customHeight="1" thickBot="1" x14ac:dyDescent="0.25">
      <c r="A17" s="196"/>
      <c r="B17" s="268"/>
      <c r="C17" s="265"/>
      <c r="D17" s="283" t="str">
        <f>IF(Team2!C9="","",Team2!C9)</f>
        <v>Amelia Stone</v>
      </c>
      <c r="E17" s="284"/>
      <c r="F17" s="287"/>
      <c r="G17" s="275"/>
      <c r="H17" s="333"/>
      <c r="I17" s="331"/>
      <c r="J17" s="318"/>
      <c r="K17" s="328"/>
    </row>
    <row r="18" spans="1:254" ht="15.75" x14ac:dyDescent="0.25">
      <c r="A18" s="58">
        <v>1</v>
      </c>
      <c r="B18" s="266" t="str">
        <f>Team3!$C$4</f>
        <v>Limavady</v>
      </c>
      <c r="C18" s="314">
        <v>3</v>
      </c>
      <c r="D18" s="283" t="s">
        <v>243</v>
      </c>
      <c r="E18" s="284"/>
      <c r="F18" s="289" t="s">
        <v>287</v>
      </c>
      <c r="G18" s="273">
        <v>2</v>
      </c>
      <c r="H18" s="276">
        <f t="shared" ref="H18" si="0">IF(G18="","",IF(G18=1,11, IF(G18=2,7,3)))</f>
        <v>7</v>
      </c>
      <c r="I18" s="277"/>
      <c r="J18" s="280">
        <f>H18</f>
        <v>7</v>
      </c>
      <c r="K18" s="322"/>
      <c r="L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  <c r="HA18" s="90"/>
      <c r="HB18" s="90"/>
      <c r="HC18" s="90"/>
      <c r="HD18" s="90"/>
      <c r="HE18" s="90"/>
      <c r="HF18" s="90"/>
      <c r="HG18" s="90"/>
      <c r="HH18" s="90"/>
      <c r="HI18" s="90"/>
      <c r="HJ18" s="90"/>
      <c r="HK18" s="90"/>
      <c r="HL18" s="90"/>
      <c r="HM18" s="90"/>
      <c r="HN18" s="90"/>
      <c r="HO18" s="90"/>
      <c r="HP18" s="90"/>
      <c r="HQ18" s="90"/>
      <c r="HR18" s="90"/>
      <c r="HS18" s="90"/>
      <c r="HT18" s="90"/>
      <c r="HU18" s="90"/>
      <c r="HV18" s="90"/>
      <c r="HW18" s="90"/>
      <c r="HX18" s="90"/>
      <c r="HY18" s="90"/>
      <c r="HZ18" s="90"/>
      <c r="IA18" s="90"/>
      <c r="IB18" s="90"/>
      <c r="IC18" s="90"/>
      <c r="ID18" s="90"/>
      <c r="IE18" s="90"/>
      <c r="IF18" s="90"/>
      <c r="IG18" s="90"/>
      <c r="IH18" s="90"/>
      <c r="II18" s="90"/>
      <c r="IJ18" s="90"/>
      <c r="IK18" s="90"/>
      <c r="IL18" s="90"/>
      <c r="IM18" s="90"/>
      <c r="IN18" s="90"/>
      <c r="IO18" s="90"/>
      <c r="IP18" s="90"/>
      <c r="IQ18" s="90"/>
      <c r="IR18" s="90"/>
      <c r="IS18" s="90"/>
      <c r="IT18" s="90"/>
    </row>
    <row r="19" spans="1:254" ht="15.75" x14ac:dyDescent="0.25">
      <c r="A19" s="58"/>
      <c r="B19" s="267"/>
      <c r="C19" s="315"/>
      <c r="D19" s="283" t="str">
        <f>IF(Team3!C7="","",Team3!C7)</f>
        <v>Henry Connell</v>
      </c>
      <c r="E19" s="284"/>
      <c r="F19" s="286"/>
      <c r="G19" s="274"/>
      <c r="H19" s="276"/>
      <c r="I19" s="278"/>
      <c r="J19" s="281"/>
      <c r="K19" s="323"/>
      <c r="L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  <c r="HA19" s="90"/>
      <c r="HB19" s="90"/>
      <c r="HC19" s="90"/>
      <c r="HD19" s="90"/>
      <c r="HE19" s="90"/>
      <c r="HF19" s="90"/>
      <c r="HG19" s="90"/>
      <c r="HH19" s="90"/>
      <c r="HI19" s="90"/>
      <c r="HJ19" s="90"/>
      <c r="HK19" s="90"/>
      <c r="HL19" s="90"/>
      <c r="HM19" s="90"/>
      <c r="HN19" s="90"/>
      <c r="HO19" s="90"/>
      <c r="HP19" s="90"/>
      <c r="HQ19" s="90"/>
      <c r="HR19" s="90"/>
      <c r="HS19" s="90"/>
      <c r="HT19" s="90"/>
      <c r="HU19" s="90"/>
      <c r="HV19" s="90"/>
      <c r="HW19" s="90"/>
      <c r="HX19" s="90"/>
      <c r="HY19" s="90"/>
      <c r="HZ19" s="90"/>
      <c r="IA19" s="90"/>
      <c r="IB19" s="90"/>
      <c r="IC19" s="90"/>
      <c r="ID19" s="90"/>
      <c r="IE19" s="90"/>
      <c r="IF19" s="90"/>
      <c r="IG19" s="90"/>
      <c r="IH19" s="90"/>
      <c r="II19" s="90"/>
      <c r="IJ19" s="90"/>
      <c r="IK19" s="90"/>
      <c r="IL19" s="90"/>
      <c r="IM19" s="90"/>
      <c r="IN19" s="90"/>
      <c r="IO19" s="90"/>
      <c r="IP19" s="90"/>
      <c r="IQ19" s="90"/>
      <c r="IR19" s="90"/>
      <c r="IS19" s="90"/>
      <c r="IT19" s="90"/>
    </row>
    <row r="20" spans="1:254" ht="15.75" x14ac:dyDescent="0.25">
      <c r="A20" s="58" t="s">
        <v>25</v>
      </c>
      <c r="B20" s="267"/>
      <c r="C20" s="315"/>
      <c r="D20" s="283" t="str">
        <f>IF(Team3!C8="","",Team3!C8)</f>
        <v>Myia Mc Clamont</v>
      </c>
      <c r="E20" s="284"/>
      <c r="F20" s="286"/>
      <c r="G20" s="274"/>
      <c r="H20" s="276"/>
      <c r="I20" s="278"/>
      <c r="J20" s="281"/>
      <c r="K20" s="323"/>
      <c r="L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  <c r="HA20" s="90"/>
      <c r="HB20" s="90"/>
      <c r="HC20" s="90"/>
      <c r="HD20" s="90"/>
      <c r="HE20" s="90"/>
      <c r="HF20" s="90"/>
      <c r="HG20" s="90"/>
      <c r="HH20" s="90"/>
      <c r="HI20" s="90"/>
      <c r="HJ20" s="90"/>
      <c r="HK20" s="90"/>
      <c r="HL20" s="90"/>
      <c r="HM20" s="90"/>
      <c r="HN20" s="90"/>
      <c r="HO20" s="90"/>
      <c r="HP20" s="90"/>
      <c r="HQ20" s="90"/>
      <c r="HR20" s="90"/>
      <c r="HS20" s="90"/>
      <c r="HT20" s="90"/>
      <c r="HU20" s="90"/>
      <c r="HV20" s="90"/>
      <c r="HW20" s="90"/>
      <c r="HX20" s="90"/>
      <c r="HY20" s="90"/>
      <c r="HZ20" s="90"/>
      <c r="IA20" s="90"/>
      <c r="IB20" s="90"/>
      <c r="IC20" s="90"/>
      <c r="ID20" s="90"/>
      <c r="IE20" s="90"/>
      <c r="IF20" s="90"/>
      <c r="IG20" s="90"/>
      <c r="IH20" s="90"/>
      <c r="II20" s="90"/>
      <c r="IJ20" s="90"/>
      <c r="IK20" s="90"/>
      <c r="IL20" s="90"/>
      <c r="IM20" s="90"/>
      <c r="IN20" s="90"/>
      <c r="IO20" s="90"/>
      <c r="IP20" s="90"/>
      <c r="IQ20" s="90"/>
      <c r="IR20" s="90"/>
      <c r="IS20" s="90"/>
      <c r="IT20" s="90"/>
    </row>
    <row r="21" spans="1:254" ht="16.5" thickBot="1" x14ac:dyDescent="0.3">
      <c r="A21" s="58"/>
      <c r="B21" s="268"/>
      <c r="C21" s="316"/>
      <c r="D21" s="283" t="str">
        <f>IF(Team3!C9="","",Team3!C9)</f>
        <v>Fiona O Neill</v>
      </c>
      <c r="E21" s="284"/>
      <c r="F21" s="287"/>
      <c r="G21" s="275"/>
      <c r="H21" s="276"/>
      <c r="I21" s="279"/>
      <c r="J21" s="282"/>
      <c r="K21" s="324"/>
      <c r="L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  <c r="HA21" s="90"/>
      <c r="HB21" s="90"/>
      <c r="HC21" s="90"/>
      <c r="HD21" s="90"/>
      <c r="HE21" s="90"/>
      <c r="HF21" s="90"/>
      <c r="HG21" s="90"/>
      <c r="HH21" s="90"/>
      <c r="HI21" s="90"/>
      <c r="HJ21" s="90"/>
      <c r="HK21" s="90"/>
      <c r="HL21" s="90"/>
      <c r="HM21" s="90"/>
      <c r="HN21" s="90"/>
      <c r="HO21" s="90"/>
      <c r="HP21" s="90"/>
      <c r="HQ21" s="90"/>
      <c r="HR21" s="90"/>
      <c r="HS21" s="90"/>
      <c r="HT21" s="90"/>
      <c r="HU21" s="90"/>
      <c r="HV21" s="90"/>
      <c r="HW21" s="90"/>
      <c r="HX21" s="90"/>
      <c r="HY21" s="90"/>
      <c r="HZ21" s="90"/>
      <c r="IA21" s="90"/>
      <c r="IB21" s="90"/>
      <c r="IC21" s="90"/>
      <c r="ID21" s="90"/>
      <c r="IE21" s="90"/>
      <c r="IF21" s="90"/>
      <c r="IG21" s="90"/>
      <c r="IH21" s="90"/>
      <c r="II21" s="90"/>
      <c r="IJ21" s="90"/>
      <c r="IK21" s="90"/>
      <c r="IL21" s="90"/>
      <c r="IM21" s="90"/>
      <c r="IN21" s="90"/>
      <c r="IO21" s="90"/>
      <c r="IP21" s="90"/>
      <c r="IQ21" s="90"/>
      <c r="IR21" s="90"/>
      <c r="IS21" s="90"/>
      <c r="IT21" s="90"/>
    </row>
    <row r="22" spans="1:254" ht="15" customHeight="1" x14ac:dyDescent="0.2">
      <c r="A22" s="162"/>
      <c r="B22" s="266" t="str">
        <f>Team1!$C$4</f>
        <v>Coleraine</v>
      </c>
      <c r="C22" s="264">
        <v>5</v>
      </c>
      <c r="D22" s="283" t="str">
        <f>IF(Team1!D6="","",Team1!D6)</f>
        <v>Robyn Little</v>
      </c>
      <c r="E22" s="284"/>
      <c r="F22" s="289" t="s">
        <v>288</v>
      </c>
      <c r="G22" s="291">
        <v>3</v>
      </c>
      <c r="H22" s="276">
        <f t="shared" ref="H22" si="1">IF(G22="","",IF(G22=1,11, IF(G22=2,7,3)))</f>
        <v>3</v>
      </c>
      <c r="I22" s="294"/>
      <c r="J22" s="269"/>
      <c r="K22" s="308">
        <f>H22</f>
        <v>3</v>
      </c>
    </row>
    <row r="23" spans="1:254" ht="15" customHeight="1" x14ac:dyDescent="0.2">
      <c r="A23" s="162"/>
      <c r="B23" s="267"/>
      <c r="C23" s="264"/>
      <c r="D23" s="283" t="str">
        <f>IF(Team1!D7="","",Team1!D7)</f>
        <v>Humphry Spence</v>
      </c>
      <c r="E23" s="284"/>
      <c r="F23" s="286"/>
      <c r="G23" s="274"/>
      <c r="H23" s="276"/>
      <c r="I23" s="295"/>
      <c r="J23" s="270"/>
      <c r="K23" s="309"/>
    </row>
    <row r="24" spans="1:254" ht="15" customHeight="1" x14ac:dyDescent="0.2">
      <c r="A24" s="162"/>
      <c r="B24" s="267"/>
      <c r="C24" s="264"/>
      <c r="D24" s="283" t="str">
        <f>IF(Team1!D8="","",Team1!D8)</f>
        <v>Campbell Smyth</v>
      </c>
      <c r="E24" s="284"/>
      <c r="F24" s="286"/>
      <c r="G24" s="274"/>
      <c r="H24" s="276"/>
      <c r="I24" s="295"/>
      <c r="J24" s="270"/>
      <c r="K24" s="309"/>
    </row>
    <row r="25" spans="1:254" ht="15.75" customHeight="1" thickBot="1" x14ac:dyDescent="0.25">
      <c r="A25" s="51"/>
      <c r="B25" s="268"/>
      <c r="C25" s="288"/>
      <c r="D25" s="311" t="str">
        <f>IF(Team1!D9="","",Team1!D9)</f>
        <v>Olivia Jenkinson</v>
      </c>
      <c r="E25" s="312"/>
      <c r="F25" s="290"/>
      <c r="G25" s="292"/>
      <c r="H25" s="293"/>
      <c r="I25" s="296"/>
      <c r="J25" s="271"/>
      <c r="K25" s="310"/>
    </row>
    <row r="26" spans="1:254" ht="15.75" x14ac:dyDescent="0.25">
      <c r="A26" s="49"/>
      <c r="B26" s="266" t="str">
        <f>Team2!$C$4</f>
        <v>Lisburn</v>
      </c>
      <c r="C26" s="263">
        <v>4</v>
      </c>
      <c r="D26" s="334" t="str">
        <f>IF(Team2!G6="","",Team2!G6)</f>
        <v>Luke Coleman</v>
      </c>
      <c r="E26" s="335"/>
      <c r="F26" s="285" t="s">
        <v>291</v>
      </c>
      <c r="G26" s="321">
        <v>3</v>
      </c>
      <c r="H26" s="332">
        <f>IF(G26="","",IF(G26=1,11, IF(G26=2,7,3)))</f>
        <v>3</v>
      </c>
      <c r="I26" s="329">
        <f>H26</f>
        <v>3</v>
      </c>
      <c r="J26" s="317"/>
      <c r="K26" s="327"/>
      <c r="L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  <c r="HA26" s="90"/>
      <c r="HB26" s="90"/>
      <c r="HC26" s="90"/>
      <c r="HD26" s="90"/>
      <c r="HE26" s="90"/>
      <c r="HF26" s="90"/>
      <c r="HG26" s="90"/>
      <c r="HH26" s="90"/>
      <c r="HI26" s="90"/>
      <c r="HJ26" s="90"/>
      <c r="HK26" s="90"/>
      <c r="HL26" s="90"/>
      <c r="HM26" s="90"/>
      <c r="HN26" s="90"/>
      <c r="HO26" s="90"/>
      <c r="HP26" s="90"/>
      <c r="HQ26" s="90"/>
      <c r="HR26" s="90"/>
      <c r="HS26" s="90"/>
      <c r="HT26" s="90"/>
      <c r="HU26" s="90"/>
      <c r="HV26" s="90"/>
      <c r="HW26" s="90"/>
      <c r="HX26" s="90"/>
      <c r="HY26" s="90"/>
      <c r="HZ26" s="90"/>
      <c r="IA26" s="90"/>
      <c r="IB26" s="90"/>
      <c r="IC26" s="90"/>
      <c r="ID26" s="90"/>
      <c r="IE26" s="90"/>
      <c r="IF26" s="90"/>
      <c r="IG26" s="90"/>
      <c r="IH26" s="90"/>
      <c r="II26" s="90"/>
      <c r="IJ26" s="90"/>
      <c r="IK26" s="90"/>
      <c r="IL26" s="90"/>
      <c r="IM26" s="90"/>
      <c r="IN26" s="90"/>
      <c r="IO26" s="90"/>
      <c r="IP26" s="90"/>
      <c r="IQ26" s="90"/>
      <c r="IR26" s="90"/>
      <c r="IS26" s="90"/>
      <c r="IT26" s="90"/>
    </row>
    <row r="27" spans="1:254" ht="15.75" x14ac:dyDescent="0.25">
      <c r="A27" s="57"/>
      <c r="B27" s="267"/>
      <c r="C27" s="264"/>
      <c r="D27" s="283" t="str">
        <f>IF(Team2!G7="","",Team2!G7)</f>
        <v>Zara Hopkins</v>
      </c>
      <c r="E27" s="284"/>
      <c r="F27" s="286"/>
      <c r="G27" s="274"/>
      <c r="H27" s="276"/>
      <c r="I27" s="330"/>
      <c r="J27" s="270"/>
      <c r="K27" s="328"/>
      <c r="L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  <c r="HA27" s="90"/>
      <c r="HB27" s="90"/>
      <c r="HC27" s="90"/>
      <c r="HD27" s="90"/>
      <c r="HE27" s="90"/>
      <c r="HF27" s="90"/>
      <c r="HG27" s="90"/>
      <c r="HH27" s="90"/>
      <c r="HI27" s="90"/>
      <c r="HJ27" s="90"/>
      <c r="HK27" s="90"/>
      <c r="HL27" s="90"/>
      <c r="HM27" s="90"/>
      <c r="HN27" s="90"/>
      <c r="HO27" s="90"/>
      <c r="HP27" s="90"/>
      <c r="HQ27" s="90"/>
      <c r="HR27" s="90"/>
      <c r="HS27" s="90"/>
      <c r="HT27" s="90"/>
      <c r="HU27" s="90"/>
      <c r="HV27" s="90"/>
      <c r="HW27" s="90"/>
      <c r="HX27" s="90"/>
      <c r="HY27" s="90"/>
      <c r="HZ27" s="90"/>
      <c r="IA27" s="90"/>
      <c r="IB27" s="90"/>
      <c r="IC27" s="90"/>
      <c r="ID27" s="90"/>
      <c r="IE27" s="90"/>
      <c r="IF27" s="90"/>
      <c r="IG27" s="90"/>
      <c r="IH27" s="90"/>
      <c r="II27" s="90"/>
      <c r="IJ27" s="90"/>
      <c r="IK27" s="90"/>
      <c r="IL27" s="90"/>
      <c r="IM27" s="90"/>
      <c r="IN27" s="90"/>
      <c r="IO27" s="90"/>
      <c r="IP27" s="90"/>
      <c r="IQ27" s="90"/>
      <c r="IR27" s="90"/>
      <c r="IS27" s="90"/>
      <c r="IT27" s="90"/>
    </row>
    <row r="28" spans="1:254" ht="15.75" x14ac:dyDescent="0.25">
      <c r="A28" s="57"/>
      <c r="B28" s="267"/>
      <c r="C28" s="264"/>
      <c r="D28" s="283" t="str">
        <f>IF(Team2!G8="","",Team2!G8)</f>
        <v>Poppy Jeffers</v>
      </c>
      <c r="E28" s="284"/>
      <c r="F28" s="286"/>
      <c r="G28" s="274"/>
      <c r="H28" s="276"/>
      <c r="I28" s="330"/>
      <c r="J28" s="270"/>
      <c r="K28" s="328"/>
      <c r="L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  <c r="HA28" s="90"/>
      <c r="HB28" s="90"/>
      <c r="HC28" s="90"/>
      <c r="HD28" s="90"/>
      <c r="HE28" s="90"/>
      <c r="HF28" s="90"/>
      <c r="HG28" s="90"/>
      <c r="HH28" s="90"/>
      <c r="HI28" s="90"/>
      <c r="HJ28" s="90"/>
      <c r="HK28" s="90"/>
      <c r="HL28" s="90"/>
      <c r="HM28" s="90"/>
      <c r="HN28" s="90"/>
      <c r="HO28" s="90"/>
      <c r="HP28" s="90"/>
      <c r="HQ28" s="90"/>
      <c r="HR28" s="90"/>
      <c r="HS28" s="90"/>
      <c r="HT28" s="90"/>
      <c r="HU28" s="90"/>
      <c r="HV28" s="90"/>
      <c r="HW28" s="90"/>
      <c r="HX28" s="90"/>
      <c r="HY28" s="90"/>
      <c r="HZ28" s="90"/>
      <c r="IA28" s="90"/>
      <c r="IB28" s="90"/>
      <c r="IC28" s="90"/>
      <c r="ID28" s="90"/>
      <c r="IE28" s="90"/>
      <c r="IF28" s="90"/>
      <c r="IG28" s="90"/>
      <c r="IH28" s="90"/>
      <c r="II28" s="90"/>
      <c r="IJ28" s="90"/>
      <c r="IK28" s="90"/>
      <c r="IL28" s="90"/>
      <c r="IM28" s="90"/>
      <c r="IN28" s="90"/>
      <c r="IO28" s="90"/>
      <c r="IP28" s="90"/>
      <c r="IQ28" s="90"/>
      <c r="IR28" s="90"/>
      <c r="IS28" s="90"/>
      <c r="IT28" s="90"/>
    </row>
    <row r="29" spans="1:254" ht="15.75" customHeight="1" thickBot="1" x14ac:dyDescent="0.25">
      <c r="A29" s="196"/>
      <c r="B29" s="268"/>
      <c r="C29" s="265"/>
      <c r="D29" s="283" t="str">
        <f>IF(Team2!G9="","",Team2!G9)</f>
        <v xml:space="preserve">Charlie Williamson </v>
      </c>
      <c r="E29" s="284"/>
      <c r="F29" s="287"/>
      <c r="G29" s="275"/>
      <c r="H29" s="333"/>
      <c r="I29" s="331"/>
      <c r="J29" s="318"/>
      <c r="K29" s="328"/>
      <c r="L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  <c r="HA29" s="90"/>
      <c r="HB29" s="90"/>
      <c r="HC29" s="90"/>
      <c r="HD29" s="90"/>
      <c r="HE29" s="90"/>
      <c r="HF29" s="90"/>
      <c r="HG29" s="90"/>
      <c r="HH29" s="90"/>
      <c r="HI29" s="90"/>
      <c r="HJ29" s="90"/>
      <c r="HK29" s="90"/>
      <c r="HL29" s="90"/>
      <c r="HM29" s="90"/>
      <c r="HN29" s="90"/>
      <c r="HO29" s="90"/>
      <c r="HP29" s="90"/>
      <c r="HQ29" s="90"/>
      <c r="HR29" s="90"/>
      <c r="HS29" s="90"/>
      <c r="HT29" s="90"/>
      <c r="HU29" s="90"/>
      <c r="HV29" s="90"/>
      <c r="HW29" s="90"/>
      <c r="HX29" s="90"/>
      <c r="HY29" s="90"/>
      <c r="HZ29" s="90"/>
      <c r="IA29" s="90"/>
      <c r="IB29" s="90"/>
      <c r="IC29" s="90"/>
      <c r="ID29" s="90"/>
      <c r="IE29" s="90"/>
      <c r="IF29" s="90"/>
      <c r="IG29" s="90"/>
      <c r="IH29" s="90"/>
      <c r="II29" s="90"/>
      <c r="IJ29" s="90"/>
      <c r="IK29" s="90"/>
      <c r="IL29" s="90"/>
      <c r="IM29" s="90"/>
      <c r="IN29" s="90"/>
      <c r="IO29" s="90"/>
      <c r="IP29" s="90"/>
      <c r="IQ29" s="90"/>
      <c r="IR29" s="90"/>
      <c r="IS29" s="90"/>
      <c r="IT29" s="90"/>
    </row>
    <row r="30" spans="1:254" ht="15.75" x14ac:dyDescent="0.25">
      <c r="A30" s="58">
        <v>2</v>
      </c>
      <c r="B30" s="266" t="str">
        <f>Team3!$C$4</f>
        <v>Limavady</v>
      </c>
      <c r="C30" s="314">
        <v>3</v>
      </c>
      <c r="D30" s="283" t="str">
        <f>IF(Team3!G6="","",Team3!G6)</f>
        <v>Katie Keown</v>
      </c>
      <c r="E30" s="284"/>
      <c r="F30" s="289" t="s">
        <v>289</v>
      </c>
      <c r="G30" s="273">
        <v>1</v>
      </c>
      <c r="H30" s="276">
        <f t="shared" ref="H30" si="2">IF(G30="","",IF(G30=1,11, IF(G30=2,7,3)))</f>
        <v>11</v>
      </c>
      <c r="I30" s="277"/>
      <c r="J30" s="280">
        <f>H30</f>
        <v>11</v>
      </c>
      <c r="K30" s="322"/>
      <c r="L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  <c r="HA30" s="90"/>
      <c r="HB30" s="90"/>
      <c r="HC30" s="90"/>
      <c r="HD30" s="90"/>
      <c r="HE30" s="90"/>
      <c r="HF30" s="90"/>
      <c r="HG30" s="90"/>
      <c r="HH30" s="90"/>
      <c r="HI30" s="90"/>
      <c r="HJ30" s="90"/>
      <c r="HK30" s="90"/>
      <c r="HL30" s="90"/>
      <c r="HM30" s="90"/>
      <c r="HN30" s="90"/>
      <c r="HO30" s="90"/>
      <c r="HP30" s="90"/>
      <c r="HQ30" s="90"/>
      <c r="HR30" s="90"/>
      <c r="HS30" s="90"/>
      <c r="HT30" s="90"/>
      <c r="HU30" s="90"/>
      <c r="HV30" s="90"/>
      <c r="HW30" s="90"/>
      <c r="HX30" s="90"/>
      <c r="HY30" s="90"/>
      <c r="HZ30" s="90"/>
      <c r="IA30" s="90"/>
      <c r="IB30" s="90"/>
      <c r="IC30" s="90"/>
      <c r="ID30" s="90"/>
      <c r="IE30" s="90"/>
      <c r="IF30" s="90"/>
      <c r="IG30" s="90"/>
      <c r="IH30" s="90"/>
      <c r="II30" s="90"/>
      <c r="IJ30" s="90"/>
      <c r="IK30" s="90"/>
      <c r="IL30" s="90"/>
      <c r="IM30" s="90"/>
      <c r="IN30" s="90"/>
      <c r="IO30" s="90"/>
      <c r="IP30" s="90"/>
      <c r="IQ30" s="90"/>
      <c r="IR30" s="90"/>
      <c r="IS30" s="90"/>
      <c r="IT30" s="90"/>
    </row>
    <row r="31" spans="1:254" ht="15.75" x14ac:dyDescent="0.25">
      <c r="A31" s="58"/>
      <c r="B31" s="267"/>
      <c r="C31" s="315"/>
      <c r="D31" s="283" t="str">
        <f>IF(Team3!G7="","",Team3!G7)</f>
        <v>Alice Caldwell</v>
      </c>
      <c r="E31" s="284"/>
      <c r="F31" s="286"/>
      <c r="G31" s="274"/>
      <c r="H31" s="276"/>
      <c r="I31" s="278"/>
      <c r="J31" s="281"/>
      <c r="K31" s="323"/>
      <c r="L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  <c r="HA31" s="90"/>
      <c r="HB31" s="90"/>
      <c r="HC31" s="90"/>
      <c r="HD31" s="90"/>
      <c r="HE31" s="90"/>
      <c r="HF31" s="90"/>
      <c r="HG31" s="90"/>
      <c r="HH31" s="90"/>
      <c r="HI31" s="90"/>
      <c r="HJ31" s="90"/>
      <c r="HK31" s="90"/>
      <c r="HL31" s="90"/>
      <c r="HM31" s="90"/>
      <c r="HN31" s="90"/>
      <c r="HO31" s="90"/>
      <c r="HP31" s="90"/>
      <c r="HQ31" s="90"/>
      <c r="HR31" s="90"/>
      <c r="HS31" s="90"/>
      <c r="HT31" s="90"/>
      <c r="HU31" s="90"/>
      <c r="HV31" s="90"/>
      <c r="HW31" s="90"/>
      <c r="HX31" s="90"/>
      <c r="HY31" s="90"/>
      <c r="HZ31" s="90"/>
      <c r="IA31" s="90"/>
      <c r="IB31" s="90"/>
      <c r="IC31" s="90"/>
      <c r="ID31" s="90"/>
      <c r="IE31" s="90"/>
      <c r="IF31" s="90"/>
      <c r="IG31" s="90"/>
      <c r="IH31" s="90"/>
      <c r="II31" s="90"/>
      <c r="IJ31" s="90"/>
      <c r="IK31" s="90"/>
      <c r="IL31" s="90"/>
      <c r="IM31" s="90"/>
      <c r="IN31" s="90"/>
      <c r="IO31" s="90"/>
      <c r="IP31" s="90"/>
      <c r="IQ31" s="90"/>
      <c r="IR31" s="90"/>
      <c r="IS31" s="90"/>
      <c r="IT31" s="90"/>
    </row>
    <row r="32" spans="1:254" ht="15.75" x14ac:dyDescent="0.25">
      <c r="A32" s="58" t="s">
        <v>26</v>
      </c>
      <c r="B32" s="267"/>
      <c r="C32" s="315"/>
      <c r="D32" s="283" t="str">
        <f>IF(Team3!G8="","",Team3!G8)</f>
        <v>Sam Staats Howard</v>
      </c>
      <c r="E32" s="284"/>
      <c r="F32" s="286"/>
      <c r="G32" s="274"/>
      <c r="H32" s="276"/>
      <c r="I32" s="278"/>
      <c r="J32" s="281"/>
      <c r="K32" s="323"/>
      <c r="L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  <c r="HA32" s="90"/>
      <c r="HB32" s="90"/>
      <c r="HC32" s="90"/>
      <c r="HD32" s="90"/>
      <c r="HE32" s="90"/>
      <c r="HF32" s="90"/>
      <c r="HG32" s="90"/>
      <c r="HH32" s="90"/>
      <c r="HI32" s="90"/>
      <c r="HJ32" s="90"/>
      <c r="HK32" s="90"/>
      <c r="HL32" s="90"/>
      <c r="HM32" s="90"/>
      <c r="HN32" s="90"/>
      <c r="HO32" s="90"/>
      <c r="HP32" s="90"/>
      <c r="HQ32" s="90"/>
      <c r="HR32" s="90"/>
      <c r="HS32" s="90"/>
      <c r="HT32" s="90"/>
      <c r="HU32" s="90"/>
      <c r="HV32" s="90"/>
      <c r="HW32" s="90"/>
      <c r="HX32" s="90"/>
      <c r="HY32" s="90"/>
      <c r="HZ32" s="90"/>
      <c r="IA32" s="90"/>
      <c r="IB32" s="90"/>
      <c r="IC32" s="90"/>
      <c r="ID32" s="90"/>
      <c r="IE32" s="90"/>
      <c r="IF32" s="90"/>
      <c r="IG32" s="90"/>
      <c r="IH32" s="90"/>
      <c r="II32" s="90"/>
      <c r="IJ32" s="90"/>
      <c r="IK32" s="90"/>
      <c r="IL32" s="90"/>
      <c r="IM32" s="90"/>
      <c r="IN32" s="90"/>
      <c r="IO32" s="90"/>
      <c r="IP32" s="90"/>
      <c r="IQ32" s="90"/>
      <c r="IR32" s="90"/>
      <c r="IS32" s="90"/>
      <c r="IT32" s="90"/>
    </row>
    <row r="33" spans="1:254" ht="16.5" thickBot="1" x14ac:dyDescent="0.3">
      <c r="A33" s="58"/>
      <c r="B33" s="268"/>
      <c r="C33" s="316"/>
      <c r="D33" s="283" t="str">
        <f>IF(Team3!G9="","",Team3!G9)</f>
        <v>Kevin Mc Macken</v>
      </c>
      <c r="E33" s="284"/>
      <c r="F33" s="287"/>
      <c r="G33" s="275"/>
      <c r="H33" s="276"/>
      <c r="I33" s="279"/>
      <c r="J33" s="282"/>
      <c r="K33" s="324"/>
      <c r="L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  <c r="HA33" s="90"/>
      <c r="HB33" s="90"/>
      <c r="HC33" s="90"/>
      <c r="HD33" s="90"/>
      <c r="HE33" s="90"/>
      <c r="HF33" s="90"/>
      <c r="HG33" s="90"/>
      <c r="HH33" s="90"/>
      <c r="HI33" s="90"/>
      <c r="HJ33" s="90"/>
      <c r="HK33" s="90"/>
      <c r="HL33" s="90"/>
      <c r="HM33" s="90"/>
      <c r="HN33" s="90"/>
      <c r="HO33" s="90"/>
      <c r="HP33" s="90"/>
      <c r="HQ33" s="90"/>
      <c r="HR33" s="90"/>
      <c r="HS33" s="90"/>
      <c r="HT33" s="90"/>
      <c r="HU33" s="90"/>
      <c r="HV33" s="90"/>
      <c r="HW33" s="90"/>
      <c r="HX33" s="90"/>
      <c r="HY33" s="90"/>
      <c r="HZ33" s="90"/>
      <c r="IA33" s="90"/>
      <c r="IB33" s="90"/>
      <c r="IC33" s="90"/>
      <c r="ID33" s="90"/>
      <c r="IE33" s="90"/>
      <c r="IF33" s="90"/>
      <c r="IG33" s="90"/>
      <c r="IH33" s="90"/>
      <c r="II33" s="90"/>
      <c r="IJ33" s="90"/>
      <c r="IK33" s="90"/>
      <c r="IL33" s="90"/>
      <c r="IM33" s="90"/>
      <c r="IN33" s="90"/>
      <c r="IO33" s="90"/>
      <c r="IP33" s="90"/>
      <c r="IQ33" s="90"/>
      <c r="IR33" s="90"/>
      <c r="IS33" s="90"/>
      <c r="IT33" s="90"/>
    </row>
    <row r="34" spans="1:254" ht="15" customHeight="1" x14ac:dyDescent="0.2">
      <c r="A34" s="162"/>
      <c r="B34" s="266" t="str">
        <f>Team1!$C$4</f>
        <v>Coleraine</v>
      </c>
      <c r="C34" s="326">
        <v>5</v>
      </c>
      <c r="D34" s="283" t="str">
        <f>IF(Team1!H6="","",Team1!H6)</f>
        <v>Erin Isley</v>
      </c>
      <c r="E34" s="284"/>
      <c r="F34" s="289" t="s">
        <v>290</v>
      </c>
      <c r="G34" s="291">
        <v>2</v>
      </c>
      <c r="H34" s="276">
        <f t="shared" ref="H34" si="3">IF(G34="","",IF(G34=1,11, IF(G34=2,7,3)))</f>
        <v>7</v>
      </c>
      <c r="I34" s="294"/>
      <c r="J34" s="269"/>
      <c r="K34" s="308">
        <f>H34</f>
        <v>7</v>
      </c>
      <c r="L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  <c r="HA34" s="90"/>
      <c r="HB34" s="90"/>
      <c r="HC34" s="90"/>
      <c r="HD34" s="90"/>
      <c r="HE34" s="90"/>
      <c r="HF34" s="90"/>
      <c r="HG34" s="90"/>
      <c r="HH34" s="90"/>
      <c r="HI34" s="90"/>
      <c r="HJ34" s="90"/>
      <c r="HK34" s="90"/>
      <c r="HL34" s="90"/>
      <c r="HM34" s="90"/>
      <c r="HN34" s="90"/>
      <c r="HO34" s="90"/>
      <c r="HP34" s="90"/>
      <c r="HQ34" s="90"/>
      <c r="HR34" s="90"/>
      <c r="HS34" s="90"/>
      <c r="HT34" s="90"/>
      <c r="HU34" s="90"/>
      <c r="HV34" s="90"/>
      <c r="HW34" s="90"/>
      <c r="HX34" s="90"/>
      <c r="HY34" s="90"/>
      <c r="HZ34" s="90"/>
      <c r="IA34" s="90"/>
      <c r="IB34" s="90"/>
      <c r="IC34" s="90"/>
      <c r="ID34" s="90"/>
      <c r="IE34" s="90"/>
      <c r="IF34" s="90"/>
      <c r="IG34" s="90"/>
      <c r="IH34" s="90"/>
      <c r="II34" s="90"/>
      <c r="IJ34" s="90"/>
      <c r="IK34" s="90"/>
      <c r="IL34" s="90"/>
      <c r="IM34" s="90"/>
      <c r="IN34" s="90"/>
      <c r="IO34" s="90"/>
      <c r="IP34" s="90"/>
      <c r="IQ34" s="90"/>
      <c r="IR34" s="90"/>
      <c r="IS34" s="90"/>
      <c r="IT34" s="90"/>
    </row>
    <row r="35" spans="1:254" ht="15" customHeight="1" x14ac:dyDescent="0.2">
      <c r="A35" s="162"/>
      <c r="B35" s="267"/>
      <c r="C35" s="264"/>
      <c r="D35" s="283" t="str">
        <f>IF(Team1!H7="","",Team1!H7)</f>
        <v>Eva Marran</v>
      </c>
      <c r="E35" s="284"/>
      <c r="F35" s="286"/>
      <c r="G35" s="274"/>
      <c r="H35" s="276"/>
      <c r="I35" s="295"/>
      <c r="J35" s="270"/>
      <c r="K35" s="309"/>
      <c r="L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  <c r="HA35" s="90"/>
      <c r="HB35" s="90"/>
      <c r="HC35" s="90"/>
      <c r="HD35" s="90"/>
      <c r="HE35" s="90"/>
      <c r="HF35" s="90"/>
      <c r="HG35" s="90"/>
      <c r="HH35" s="90"/>
      <c r="HI35" s="90"/>
      <c r="HJ35" s="90"/>
      <c r="HK35" s="90"/>
      <c r="HL35" s="90"/>
      <c r="HM35" s="90"/>
      <c r="HN35" s="90"/>
      <c r="HO35" s="90"/>
      <c r="HP35" s="90"/>
      <c r="HQ35" s="90"/>
      <c r="HR35" s="90"/>
      <c r="HS35" s="90"/>
      <c r="HT35" s="90"/>
      <c r="HU35" s="90"/>
      <c r="HV35" s="90"/>
      <c r="HW35" s="90"/>
      <c r="HX35" s="90"/>
      <c r="HY35" s="90"/>
      <c r="HZ35" s="90"/>
      <c r="IA35" s="90"/>
      <c r="IB35" s="90"/>
      <c r="IC35" s="90"/>
      <c r="ID35" s="90"/>
      <c r="IE35" s="90"/>
      <c r="IF35" s="90"/>
      <c r="IG35" s="90"/>
      <c r="IH35" s="90"/>
      <c r="II35" s="90"/>
      <c r="IJ35" s="90"/>
      <c r="IK35" s="90"/>
      <c r="IL35" s="90"/>
      <c r="IM35" s="90"/>
      <c r="IN35" s="90"/>
      <c r="IO35" s="90"/>
      <c r="IP35" s="90"/>
      <c r="IQ35" s="90"/>
      <c r="IR35" s="90"/>
      <c r="IS35" s="90"/>
      <c r="IT35" s="90"/>
    </row>
    <row r="36" spans="1:254" ht="15" customHeight="1" x14ac:dyDescent="0.2">
      <c r="A36" s="162"/>
      <c r="B36" s="267"/>
      <c r="C36" s="264"/>
      <c r="D36" s="283" t="str">
        <f>IF(Team1!H8="","",Team1!H8)</f>
        <v>Noah McClelland</v>
      </c>
      <c r="E36" s="284"/>
      <c r="F36" s="286"/>
      <c r="G36" s="274"/>
      <c r="H36" s="276"/>
      <c r="I36" s="295"/>
      <c r="J36" s="270"/>
      <c r="K36" s="309"/>
      <c r="L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  <c r="HA36" s="90"/>
      <c r="HB36" s="90"/>
      <c r="HC36" s="90"/>
      <c r="HD36" s="90"/>
      <c r="HE36" s="90"/>
      <c r="HF36" s="90"/>
      <c r="HG36" s="90"/>
      <c r="HH36" s="90"/>
      <c r="HI36" s="90"/>
      <c r="HJ36" s="90"/>
      <c r="HK36" s="90"/>
      <c r="HL36" s="90"/>
      <c r="HM36" s="90"/>
      <c r="HN36" s="90"/>
      <c r="HO36" s="90"/>
      <c r="HP36" s="90"/>
      <c r="HQ36" s="90"/>
      <c r="HR36" s="90"/>
      <c r="HS36" s="90"/>
      <c r="HT36" s="90"/>
      <c r="HU36" s="90"/>
      <c r="HV36" s="90"/>
      <c r="HW36" s="90"/>
      <c r="HX36" s="90"/>
      <c r="HY36" s="90"/>
      <c r="HZ36" s="90"/>
      <c r="IA36" s="90"/>
      <c r="IB36" s="90"/>
      <c r="IC36" s="90"/>
      <c r="ID36" s="90"/>
      <c r="IE36" s="90"/>
      <c r="IF36" s="90"/>
      <c r="IG36" s="90"/>
      <c r="IH36" s="90"/>
      <c r="II36" s="90"/>
      <c r="IJ36" s="90"/>
      <c r="IK36" s="90"/>
      <c r="IL36" s="90"/>
      <c r="IM36" s="90"/>
      <c r="IN36" s="90"/>
      <c r="IO36" s="90"/>
      <c r="IP36" s="90"/>
      <c r="IQ36" s="90"/>
      <c r="IR36" s="90"/>
      <c r="IS36" s="90"/>
      <c r="IT36" s="90"/>
    </row>
    <row r="37" spans="1:254" ht="15.75" customHeight="1" thickBot="1" x14ac:dyDescent="0.25">
      <c r="A37" s="51"/>
      <c r="B37" s="325"/>
      <c r="C37" s="288"/>
      <c r="D37" s="311" t="str">
        <f>IF(Team1!H9="","",Team1!H9)</f>
        <v>James Hegarty</v>
      </c>
      <c r="E37" s="312"/>
      <c r="F37" s="290"/>
      <c r="G37" s="292"/>
      <c r="H37" s="293"/>
      <c r="I37" s="296"/>
      <c r="J37" s="271"/>
      <c r="K37" s="310"/>
      <c r="L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  <c r="HA37" s="90"/>
      <c r="HB37" s="90"/>
      <c r="HC37" s="90"/>
      <c r="HD37" s="90"/>
      <c r="HE37" s="90"/>
      <c r="HF37" s="90"/>
      <c r="HG37" s="90"/>
      <c r="HH37" s="90"/>
      <c r="HI37" s="90"/>
      <c r="HJ37" s="90"/>
      <c r="HK37" s="90"/>
      <c r="HL37" s="90"/>
      <c r="HM37" s="90"/>
      <c r="HN37" s="90"/>
      <c r="HO37" s="90"/>
      <c r="HP37" s="90"/>
      <c r="HQ37" s="90"/>
      <c r="HR37" s="90"/>
      <c r="HS37" s="90"/>
      <c r="HT37" s="90"/>
      <c r="HU37" s="90"/>
      <c r="HV37" s="90"/>
      <c r="HW37" s="90"/>
      <c r="HX37" s="90"/>
      <c r="HY37" s="90"/>
      <c r="HZ37" s="90"/>
      <c r="IA37" s="90"/>
      <c r="IB37" s="90"/>
      <c r="IC37" s="90"/>
      <c r="ID37" s="90"/>
      <c r="IE37" s="90"/>
      <c r="IF37" s="90"/>
      <c r="IG37" s="90"/>
      <c r="IH37" s="90"/>
      <c r="II37" s="90"/>
      <c r="IJ37" s="90"/>
      <c r="IK37" s="90"/>
      <c r="IL37" s="90"/>
      <c r="IM37" s="90"/>
      <c r="IN37" s="90"/>
      <c r="IO37" s="90"/>
      <c r="IP37" s="90"/>
      <c r="IQ37" s="90"/>
      <c r="IR37" s="90"/>
      <c r="IS37" s="90"/>
      <c r="IT37" s="90"/>
    </row>
    <row r="38" spans="1:254" ht="15.75" x14ac:dyDescent="0.25">
      <c r="A38" s="61"/>
      <c r="B38" s="181"/>
      <c r="C38" s="62"/>
      <c r="D38" s="63"/>
      <c r="E38" s="63"/>
      <c r="F38" s="59"/>
      <c r="G38" s="60"/>
      <c r="H38" s="60"/>
      <c r="I38" s="216"/>
      <c r="J38" s="217"/>
      <c r="K38" s="218"/>
      <c r="L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  <c r="HA38" s="90"/>
      <c r="HB38" s="90"/>
      <c r="HC38" s="90"/>
      <c r="HD38" s="90"/>
      <c r="HE38" s="90"/>
      <c r="HF38" s="90"/>
      <c r="HG38" s="90"/>
      <c r="HH38" s="90"/>
      <c r="HI38" s="90"/>
      <c r="HJ38" s="90"/>
      <c r="HK38" s="90"/>
      <c r="HL38" s="90"/>
      <c r="HM38" s="90"/>
      <c r="HN38" s="90"/>
      <c r="HO38" s="90"/>
      <c r="HP38" s="90"/>
      <c r="HQ38" s="90"/>
      <c r="HR38" s="90"/>
      <c r="HS38" s="90"/>
      <c r="HT38" s="90"/>
      <c r="HU38" s="90"/>
      <c r="HV38" s="90"/>
      <c r="HW38" s="90"/>
      <c r="HX38" s="90"/>
      <c r="HY38" s="90"/>
      <c r="HZ38" s="90"/>
      <c r="IA38" s="90"/>
      <c r="IB38" s="90"/>
      <c r="IC38" s="90"/>
      <c r="ID38" s="90"/>
      <c r="IE38" s="90"/>
      <c r="IF38" s="90"/>
      <c r="IG38" s="90"/>
      <c r="IH38" s="90"/>
      <c r="II38" s="90"/>
      <c r="IJ38" s="90"/>
      <c r="IK38" s="90"/>
      <c r="IL38" s="90"/>
      <c r="IM38" s="90"/>
      <c r="IN38" s="90"/>
      <c r="IO38" s="90"/>
      <c r="IP38" s="90"/>
      <c r="IQ38" s="90"/>
      <c r="IR38" s="90"/>
      <c r="IS38" s="90"/>
      <c r="IT38" s="90"/>
    </row>
    <row r="39" spans="1:254" ht="15.75" x14ac:dyDescent="0.25">
      <c r="A39" s="61"/>
      <c r="B39" s="181"/>
      <c r="C39" s="62"/>
      <c r="D39" s="63"/>
      <c r="E39" s="63"/>
      <c r="F39" s="62"/>
      <c r="G39" s="64"/>
      <c r="H39" s="64"/>
      <c r="I39" s="219"/>
      <c r="J39" s="220"/>
      <c r="K39" s="221"/>
      <c r="L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  <c r="HA39" s="90"/>
      <c r="HB39" s="90"/>
      <c r="HC39" s="90"/>
      <c r="HD39" s="90"/>
      <c r="HE39" s="90"/>
      <c r="HF39" s="90"/>
      <c r="HG39" s="90"/>
      <c r="HH39" s="90"/>
      <c r="HI39" s="90"/>
      <c r="HJ39" s="90"/>
      <c r="HK39" s="90"/>
      <c r="HL39" s="90"/>
      <c r="HM39" s="90"/>
      <c r="HN39" s="90"/>
      <c r="HO39" s="90"/>
      <c r="HP39" s="90"/>
      <c r="HQ39" s="90"/>
      <c r="HR39" s="90"/>
      <c r="HS39" s="90"/>
      <c r="HT39" s="90"/>
      <c r="HU39" s="90"/>
      <c r="HV39" s="90"/>
      <c r="HW39" s="90"/>
      <c r="HX39" s="90"/>
      <c r="HY39" s="90"/>
      <c r="HZ39" s="90"/>
      <c r="IA39" s="90"/>
      <c r="IB39" s="90"/>
      <c r="IC39" s="90"/>
      <c r="ID39" s="90"/>
      <c r="IE39" s="90"/>
      <c r="IF39" s="90"/>
      <c r="IG39" s="90"/>
      <c r="IH39" s="90"/>
      <c r="II39" s="90"/>
      <c r="IJ39" s="90"/>
      <c r="IK39" s="90"/>
      <c r="IL39" s="90"/>
      <c r="IM39" s="90"/>
      <c r="IN39" s="90"/>
      <c r="IO39" s="90"/>
      <c r="IP39" s="90"/>
      <c r="IQ39" s="90"/>
      <c r="IR39" s="90"/>
      <c r="IS39" s="90"/>
      <c r="IT39" s="90"/>
    </row>
    <row r="40" spans="1:254" ht="16.5" thickBot="1" x14ac:dyDescent="0.3">
      <c r="A40" s="65"/>
      <c r="B40" s="180"/>
      <c r="C40" s="46"/>
      <c r="D40" s="48"/>
      <c r="E40" s="48"/>
      <c r="F40" s="46"/>
      <c r="G40" s="66" t="s">
        <v>29</v>
      </c>
      <c r="H40" s="66"/>
      <c r="I40" s="189">
        <f>IF(SUM(I14,I26)=0,"",SUM(I14,I26))</f>
        <v>14</v>
      </c>
      <c r="J40" s="190">
        <f>IF(SUM(J18,J30)=0,"",SUM(J18,J30))</f>
        <v>18</v>
      </c>
      <c r="K40" s="191">
        <f>IF(SUM(K22,K34)=0,"",SUM(K22,K34))</f>
        <v>10</v>
      </c>
      <c r="L40" s="90"/>
      <c r="M40" s="90">
        <v>21</v>
      </c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  <c r="HA40" s="90"/>
      <c r="HB40" s="90"/>
      <c r="HC40" s="90"/>
      <c r="HD40" s="90"/>
      <c r="HE40" s="90"/>
      <c r="HF40" s="90"/>
      <c r="HG40" s="90"/>
      <c r="HH40" s="90"/>
      <c r="HI40" s="90"/>
      <c r="HJ40" s="90"/>
      <c r="HK40" s="90"/>
      <c r="HL40" s="90"/>
      <c r="HM40" s="90"/>
      <c r="HN40" s="90"/>
      <c r="HO40" s="90"/>
      <c r="HP40" s="90"/>
      <c r="HQ40" s="90"/>
      <c r="HR40" s="90"/>
      <c r="HS40" s="90"/>
      <c r="HT40" s="90"/>
      <c r="HU40" s="90"/>
      <c r="HV40" s="90"/>
      <c r="HW40" s="90"/>
      <c r="HX40" s="90"/>
      <c r="HY40" s="90"/>
      <c r="HZ40" s="90"/>
      <c r="IA40" s="90"/>
      <c r="IB40" s="90"/>
      <c r="IC40" s="90"/>
      <c r="ID40" s="90"/>
      <c r="IE40" s="90"/>
      <c r="IF40" s="90"/>
      <c r="IG40" s="90"/>
      <c r="IH40" s="90"/>
      <c r="II40" s="90"/>
      <c r="IJ40" s="90"/>
      <c r="IK40" s="90"/>
      <c r="IL40" s="90"/>
      <c r="IM40" s="90"/>
      <c r="IN40" s="90"/>
      <c r="IO40" s="90"/>
      <c r="IP40" s="90"/>
      <c r="IQ40" s="90"/>
      <c r="IR40" s="90"/>
      <c r="IS40" s="90"/>
      <c r="IT40" s="90"/>
    </row>
    <row r="41" spans="1:254" ht="10.5" customHeight="1" x14ac:dyDescent="0.25">
      <c r="A41" s="62"/>
      <c r="B41" s="181"/>
      <c r="C41" s="62"/>
      <c r="D41" s="63"/>
      <c r="E41" s="63"/>
      <c r="F41" s="62"/>
      <c r="G41" s="175"/>
      <c r="H41" s="175"/>
      <c r="I41" s="192"/>
      <c r="J41" s="192"/>
      <c r="K41" s="192"/>
      <c r="L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  <c r="HA41" s="90"/>
      <c r="HB41" s="90"/>
      <c r="HC41" s="90"/>
      <c r="HD41" s="90"/>
      <c r="HE41" s="90"/>
      <c r="HF41" s="90"/>
      <c r="HG41" s="90"/>
      <c r="HH41" s="90"/>
      <c r="HI41" s="90"/>
      <c r="HJ41" s="90"/>
      <c r="HK41" s="90"/>
      <c r="HL41" s="90"/>
      <c r="HM41" s="90"/>
      <c r="HN41" s="90"/>
      <c r="HO41" s="90"/>
      <c r="HP41" s="90"/>
      <c r="HQ41" s="90"/>
      <c r="HR41" s="90"/>
      <c r="HS41" s="90"/>
      <c r="HT41" s="90"/>
      <c r="HU41" s="90"/>
      <c r="HV41" s="90"/>
      <c r="HW41" s="90"/>
      <c r="HX41" s="90"/>
      <c r="HY41" s="90"/>
      <c r="HZ41" s="90"/>
      <c r="IA41" s="90"/>
      <c r="IB41" s="90"/>
      <c r="IC41" s="90"/>
      <c r="ID41" s="90"/>
      <c r="IE41" s="90"/>
      <c r="IF41" s="90"/>
      <c r="IG41" s="90"/>
      <c r="IH41" s="90"/>
      <c r="II41" s="90"/>
      <c r="IJ41" s="90"/>
      <c r="IK41" s="90"/>
      <c r="IL41" s="90"/>
      <c r="IM41" s="90"/>
      <c r="IN41" s="90"/>
      <c r="IO41" s="90"/>
      <c r="IP41" s="90"/>
      <c r="IQ41" s="90"/>
      <c r="IR41" s="90"/>
      <c r="IS41" s="90"/>
      <c r="IT41" s="90"/>
    </row>
    <row r="42" spans="1:254" ht="15.75" x14ac:dyDescent="0.25">
      <c r="A42" s="336" t="s">
        <v>19</v>
      </c>
      <c r="B42" s="337"/>
      <c r="C42" s="337"/>
      <c r="D42" s="337"/>
      <c r="E42" s="337"/>
      <c r="F42" s="337"/>
      <c r="G42" s="337"/>
      <c r="H42" s="337"/>
      <c r="I42" s="337"/>
      <c r="J42" s="337"/>
      <c r="K42" s="337"/>
      <c r="L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  <c r="HA42" s="90"/>
      <c r="HB42" s="90"/>
      <c r="HC42" s="90"/>
      <c r="HD42" s="90"/>
      <c r="HE42" s="90"/>
      <c r="HF42" s="90"/>
      <c r="HG42" s="90"/>
      <c r="HH42" s="90"/>
      <c r="HI42" s="90"/>
      <c r="HJ42" s="90"/>
      <c r="HK42" s="90"/>
      <c r="HL42" s="90"/>
      <c r="HM42" s="90"/>
      <c r="HN42" s="90"/>
      <c r="HO42" s="90"/>
      <c r="HP42" s="90"/>
      <c r="HQ42" s="90"/>
      <c r="HR42" s="90"/>
      <c r="HS42" s="90"/>
      <c r="HT42" s="90"/>
      <c r="HU42" s="90"/>
      <c r="HV42" s="90"/>
      <c r="HW42" s="90"/>
      <c r="HX42" s="90"/>
      <c r="HY42" s="90"/>
      <c r="HZ42" s="90"/>
      <c r="IA42" s="90"/>
      <c r="IB42" s="90"/>
      <c r="IC42" s="90"/>
      <c r="ID42" s="90"/>
      <c r="IE42" s="90"/>
      <c r="IF42" s="90"/>
      <c r="IG42" s="90"/>
      <c r="IH42" s="90"/>
      <c r="II42" s="90"/>
      <c r="IJ42" s="90"/>
      <c r="IK42" s="90"/>
      <c r="IL42" s="90"/>
      <c r="IM42" s="90"/>
      <c r="IN42" s="90"/>
      <c r="IO42" s="90"/>
      <c r="IP42" s="90"/>
      <c r="IQ42" s="90"/>
      <c r="IR42" s="90"/>
      <c r="IS42" s="90"/>
      <c r="IT42" s="90"/>
    </row>
    <row r="43" spans="1:254" ht="10.5" customHeight="1" thickBot="1" x14ac:dyDescent="0.3">
      <c r="A43" s="46"/>
      <c r="B43" s="180"/>
      <c r="C43" s="47"/>
      <c r="D43" s="48"/>
      <c r="E43" s="47"/>
      <c r="F43" s="46"/>
      <c r="G43" s="46"/>
      <c r="H43" s="46" t="str">
        <f>IF(G43="","",IF(G43=1,11, IF(G43=2,7,3)))</f>
        <v/>
      </c>
      <c r="I43" s="213" t="str">
        <f>H43</f>
        <v/>
      </c>
      <c r="J43" s="213"/>
      <c r="K43" s="213"/>
      <c r="L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  <c r="HA43" s="90"/>
      <c r="HB43" s="90"/>
      <c r="HC43" s="90"/>
      <c r="HD43" s="90"/>
      <c r="HE43" s="90"/>
      <c r="HF43" s="90"/>
      <c r="HG43" s="90"/>
      <c r="HH43" s="90"/>
      <c r="HI43" s="90"/>
      <c r="HJ43" s="90"/>
      <c r="HK43" s="90"/>
      <c r="HL43" s="90"/>
      <c r="HM43" s="90"/>
      <c r="HN43" s="90"/>
      <c r="HO43" s="90"/>
      <c r="HP43" s="90"/>
      <c r="HQ43" s="90"/>
      <c r="HR43" s="90"/>
      <c r="HS43" s="90"/>
      <c r="HT43" s="90"/>
      <c r="HU43" s="90"/>
      <c r="HV43" s="90"/>
      <c r="HW43" s="90"/>
      <c r="HX43" s="90"/>
      <c r="HY43" s="90"/>
      <c r="HZ43" s="90"/>
      <c r="IA43" s="90"/>
      <c r="IB43" s="90"/>
      <c r="IC43" s="90"/>
      <c r="ID43" s="90"/>
      <c r="IE43" s="90"/>
      <c r="IF43" s="90"/>
      <c r="IG43" s="90"/>
      <c r="IH43" s="90"/>
      <c r="II43" s="90"/>
      <c r="IJ43" s="90"/>
      <c r="IK43" s="90"/>
      <c r="IL43" s="90"/>
      <c r="IM43" s="90"/>
      <c r="IN43" s="90"/>
      <c r="IO43" s="90"/>
      <c r="IP43" s="90"/>
      <c r="IQ43" s="90"/>
      <c r="IR43" s="90"/>
      <c r="IS43" s="90"/>
      <c r="IT43" s="90"/>
    </row>
    <row r="44" spans="1:254" ht="12.95" customHeight="1" thickBot="1" x14ac:dyDescent="0.25">
      <c r="A44" s="67" t="s">
        <v>1</v>
      </c>
      <c r="B44" s="68" t="s">
        <v>20</v>
      </c>
      <c r="C44" s="68" t="s">
        <v>21</v>
      </c>
      <c r="D44" s="340" t="s">
        <v>22</v>
      </c>
      <c r="E44" s="341"/>
      <c r="F44" s="68" t="s">
        <v>23</v>
      </c>
      <c r="G44" s="68" t="s">
        <v>24</v>
      </c>
      <c r="H44" s="158" t="s">
        <v>16</v>
      </c>
      <c r="I44" s="342" t="s">
        <v>16</v>
      </c>
      <c r="J44" s="343"/>
      <c r="K44" s="344"/>
      <c r="L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0"/>
      <c r="AR44" s="90"/>
      <c r="AS44" s="90"/>
      <c r="AT44" s="90"/>
      <c r="AU44" s="90"/>
      <c r="AV44" s="90"/>
      <c r="AW44" s="90"/>
      <c r="AX44" s="90"/>
      <c r="AY44" s="90"/>
      <c r="AZ44" s="90"/>
      <c r="BA44" s="90"/>
      <c r="BB44" s="90"/>
      <c r="BC44" s="90"/>
      <c r="BD44" s="90"/>
      <c r="BE44" s="90"/>
      <c r="BF44" s="90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  <c r="HA44" s="90"/>
      <c r="HB44" s="90"/>
      <c r="HC44" s="90"/>
      <c r="HD44" s="90"/>
      <c r="HE44" s="90"/>
      <c r="HF44" s="90"/>
      <c r="HG44" s="90"/>
      <c r="HH44" s="90"/>
      <c r="HI44" s="90"/>
      <c r="HJ44" s="90"/>
      <c r="HK44" s="90"/>
      <c r="HL44" s="90"/>
      <c r="HM44" s="90"/>
      <c r="HN44" s="90"/>
      <c r="HO44" s="90"/>
      <c r="HP44" s="90"/>
      <c r="HQ44" s="90"/>
      <c r="HR44" s="90"/>
      <c r="HS44" s="90"/>
      <c r="HT44" s="90"/>
      <c r="HU44" s="90"/>
      <c r="HV44" s="90"/>
      <c r="HW44" s="90"/>
      <c r="HX44" s="90"/>
      <c r="HY44" s="90"/>
      <c r="HZ44" s="90"/>
      <c r="IA44" s="90"/>
      <c r="IB44" s="90"/>
      <c r="IC44" s="90"/>
      <c r="ID44" s="90"/>
      <c r="IE44" s="90"/>
      <c r="IF44" s="90"/>
      <c r="IG44" s="90"/>
      <c r="IH44" s="90"/>
      <c r="II44" s="90"/>
      <c r="IJ44" s="90"/>
      <c r="IK44" s="90"/>
      <c r="IL44" s="90"/>
      <c r="IM44" s="90"/>
      <c r="IN44" s="90"/>
      <c r="IO44" s="90"/>
      <c r="IP44" s="90"/>
      <c r="IQ44" s="90"/>
      <c r="IR44" s="90"/>
      <c r="IS44" s="90"/>
      <c r="IT44" s="90"/>
    </row>
    <row r="45" spans="1:254" ht="15.75" x14ac:dyDescent="0.25">
      <c r="A45" s="57"/>
      <c r="B45" s="266" t="str">
        <f>Team2!$C$4</f>
        <v>Lisburn</v>
      </c>
      <c r="C45" s="263">
        <v>4</v>
      </c>
      <c r="D45" s="283" t="str">
        <f>IF(Team2!C10="","",Team2!C10)</f>
        <v>Sinead McQuillan</v>
      </c>
      <c r="E45" s="284"/>
      <c r="F45" s="285" t="s">
        <v>293</v>
      </c>
      <c r="G45" s="321">
        <v>2</v>
      </c>
      <c r="H45" s="332">
        <f t="shared" ref="H45" si="4">IF(G45="","",IF(G45=1,11, IF(G45=2,7,3)))</f>
        <v>7</v>
      </c>
      <c r="I45" s="329">
        <f>H45</f>
        <v>7</v>
      </c>
      <c r="J45" s="317"/>
      <c r="K45" s="327"/>
      <c r="L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  <c r="AN45" s="90"/>
      <c r="AO45" s="90"/>
      <c r="AP45" s="90"/>
      <c r="AQ45" s="90"/>
      <c r="AR45" s="90"/>
      <c r="AS45" s="90"/>
      <c r="AT45" s="90"/>
      <c r="AU45" s="90"/>
      <c r="AV45" s="90"/>
      <c r="AW45" s="90"/>
      <c r="AX45" s="90"/>
      <c r="AY45" s="90"/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  <c r="HA45" s="90"/>
      <c r="HB45" s="90"/>
      <c r="HC45" s="90"/>
      <c r="HD45" s="90"/>
      <c r="HE45" s="90"/>
      <c r="HF45" s="90"/>
      <c r="HG45" s="90"/>
      <c r="HH45" s="90"/>
      <c r="HI45" s="90"/>
      <c r="HJ45" s="90"/>
      <c r="HK45" s="90"/>
      <c r="HL45" s="90"/>
      <c r="HM45" s="90"/>
      <c r="HN45" s="90"/>
      <c r="HO45" s="90"/>
      <c r="HP45" s="90"/>
      <c r="HQ45" s="90"/>
      <c r="HR45" s="90"/>
      <c r="HS45" s="90"/>
      <c r="HT45" s="90"/>
      <c r="HU45" s="90"/>
      <c r="HV45" s="90"/>
      <c r="HW45" s="90"/>
      <c r="HX45" s="90"/>
      <c r="HY45" s="90"/>
      <c r="HZ45" s="90"/>
      <c r="IA45" s="90"/>
      <c r="IB45" s="90"/>
      <c r="IC45" s="90"/>
      <c r="ID45" s="90"/>
      <c r="IE45" s="90"/>
      <c r="IF45" s="90"/>
      <c r="IG45" s="90"/>
      <c r="IH45" s="90"/>
      <c r="II45" s="90"/>
      <c r="IJ45" s="90"/>
      <c r="IK45" s="90"/>
      <c r="IL45" s="90"/>
      <c r="IM45" s="90"/>
      <c r="IN45" s="90"/>
      <c r="IO45" s="90"/>
      <c r="IP45" s="90"/>
      <c r="IQ45" s="90"/>
      <c r="IR45" s="90"/>
      <c r="IS45" s="90"/>
      <c r="IT45" s="90"/>
    </row>
    <row r="46" spans="1:254" ht="15.75" x14ac:dyDescent="0.25">
      <c r="A46" s="57"/>
      <c r="B46" s="267"/>
      <c r="C46" s="264"/>
      <c r="D46" s="283" t="str">
        <f>IF(Team2!C11="","",Team2!C11)</f>
        <v>Cillan Hall</v>
      </c>
      <c r="E46" s="284"/>
      <c r="F46" s="286"/>
      <c r="G46" s="274"/>
      <c r="H46" s="276"/>
      <c r="I46" s="330"/>
      <c r="J46" s="270"/>
      <c r="K46" s="328"/>
      <c r="L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90"/>
      <c r="AO46" s="90"/>
      <c r="AP46" s="90"/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  <c r="HA46" s="90"/>
      <c r="HB46" s="90"/>
      <c r="HC46" s="90"/>
      <c r="HD46" s="90"/>
      <c r="HE46" s="90"/>
      <c r="HF46" s="90"/>
      <c r="HG46" s="90"/>
      <c r="HH46" s="90"/>
      <c r="HI46" s="90"/>
      <c r="HJ46" s="90"/>
      <c r="HK46" s="90"/>
      <c r="HL46" s="90"/>
      <c r="HM46" s="90"/>
      <c r="HN46" s="90"/>
      <c r="HO46" s="90"/>
      <c r="HP46" s="90"/>
      <c r="HQ46" s="90"/>
      <c r="HR46" s="90"/>
      <c r="HS46" s="90"/>
      <c r="HT46" s="90"/>
      <c r="HU46" s="90"/>
      <c r="HV46" s="90"/>
      <c r="HW46" s="90"/>
      <c r="HX46" s="90"/>
      <c r="HY46" s="90"/>
      <c r="HZ46" s="90"/>
      <c r="IA46" s="90"/>
      <c r="IB46" s="90"/>
      <c r="IC46" s="90"/>
      <c r="ID46" s="90"/>
      <c r="IE46" s="90"/>
      <c r="IF46" s="90"/>
      <c r="IG46" s="90"/>
      <c r="IH46" s="90"/>
      <c r="II46" s="90"/>
      <c r="IJ46" s="90"/>
      <c r="IK46" s="90"/>
      <c r="IL46" s="90"/>
      <c r="IM46" s="90"/>
      <c r="IN46" s="90"/>
      <c r="IO46" s="90"/>
      <c r="IP46" s="90"/>
      <c r="IQ46" s="90"/>
      <c r="IR46" s="90"/>
      <c r="IS46" s="90"/>
      <c r="IT46" s="90"/>
    </row>
    <row r="47" spans="1:254" ht="15.75" x14ac:dyDescent="0.25">
      <c r="A47" s="57"/>
      <c r="B47" s="267"/>
      <c r="C47" s="264"/>
      <c r="D47" s="283" t="str">
        <f>IF(Team2!C12="","",Team2!C12)</f>
        <v>Ben Bickerstaffe</v>
      </c>
      <c r="E47" s="284"/>
      <c r="F47" s="286"/>
      <c r="G47" s="274"/>
      <c r="H47" s="276"/>
      <c r="I47" s="330"/>
      <c r="J47" s="270"/>
      <c r="K47" s="328"/>
      <c r="L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90"/>
      <c r="AO47" s="90"/>
      <c r="AP47" s="90"/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  <c r="HA47" s="90"/>
      <c r="HB47" s="90"/>
      <c r="HC47" s="90"/>
      <c r="HD47" s="90"/>
      <c r="HE47" s="90"/>
      <c r="HF47" s="90"/>
      <c r="HG47" s="90"/>
      <c r="HH47" s="90"/>
      <c r="HI47" s="90"/>
      <c r="HJ47" s="90"/>
      <c r="HK47" s="90"/>
      <c r="HL47" s="90"/>
      <c r="HM47" s="90"/>
      <c r="HN47" s="90"/>
      <c r="HO47" s="90"/>
      <c r="HP47" s="90"/>
      <c r="HQ47" s="90"/>
      <c r="HR47" s="90"/>
      <c r="HS47" s="90"/>
      <c r="HT47" s="90"/>
      <c r="HU47" s="90"/>
      <c r="HV47" s="90"/>
      <c r="HW47" s="90"/>
      <c r="HX47" s="90"/>
      <c r="HY47" s="90"/>
      <c r="HZ47" s="90"/>
      <c r="IA47" s="90"/>
      <c r="IB47" s="90"/>
      <c r="IC47" s="90"/>
      <c r="ID47" s="90"/>
      <c r="IE47" s="90"/>
      <c r="IF47" s="90"/>
      <c r="IG47" s="90"/>
      <c r="IH47" s="90"/>
      <c r="II47" s="90"/>
      <c r="IJ47" s="90"/>
      <c r="IK47" s="90"/>
      <c r="IL47" s="90"/>
      <c r="IM47" s="90"/>
      <c r="IN47" s="90"/>
      <c r="IO47" s="90"/>
      <c r="IP47" s="90"/>
      <c r="IQ47" s="90"/>
      <c r="IR47" s="90"/>
      <c r="IS47" s="90"/>
      <c r="IT47" s="90"/>
    </row>
    <row r="48" spans="1:254" ht="15.75" customHeight="1" thickBot="1" x14ac:dyDescent="0.25">
      <c r="A48" s="196"/>
      <c r="B48" s="268"/>
      <c r="C48" s="265"/>
      <c r="D48" s="283" t="str">
        <f>IF(Team2!C13="","",Team2!C13)</f>
        <v>Evie Lowry</v>
      </c>
      <c r="E48" s="284"/>
      <c r="F48" s="287"/>
      <c r="G48" s="275"/>
      <c r="H48" s="333"/>
      <c r="I48" s="331"/>
      <c r="J48" s="318"/>
      <c r="K48" s="328"/>
      <c r="L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90"/>
      <c r="AO48" s="90"/>
      <c r="AP48" s="90"/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  <c r="HA48" s="90"/>
      <c r="HB48" s="90"/>
      <c r="HC48" s="90"/>
      <c r="HD48" s="90"/>
      <c r="HE48" s="90"/>
      <c r="HF48" s="90"/>
      <c r="HG48" s="90"/>
      <c r="HH48" s="90"/>
      <c r="HI48" s="90"/>
      <c r="HJ48" s="90"/>
      <c r="HK48" s="90"/>
      <c r="HL48" s="90"/>
      <c r="HM48" s="90"/>
      <c r="HN48" s="90"/>
      <c r="HO48" s="90"/>
      <c r="HP48" s="90"/>
      <c r="HQ48" s="90"/>
      <c r="HR48" s="90"/>
      <c r="HS48" s="90"/>
      <c r="HT48" s="90"/>
      <c r="HU48" s="90"/>
      <c r="HV48" s="90"/>
      <c r="HW48" s="90"/>
      <c r="HX48" s="90"/>
      <c r="HY48" s="90"/>
      <c r="HZ48" s="90"/>
      <c r="IA48" s="90"/>
      <c r="IB48" s="90"/>
      <c r="IC48" s="90"/>
      <c r="ID48" s="90"/>
      <c r="IE48" s="90"/>
      <c r="IF48" s="90"/>
      <c r="IG48" s="90"/>
      <c r="IH48" s="90"/>
      <c r="II48" s="90"/>
      <c r="IJ48" s="90"/>
      <c r="IK48" s="90"/>
      <c r="IL48" s="90"/>
      <c r="IM48" s="90"/>
      <c r="IN48" s="90"/>
      <c r="IO48" s="90"/>
      <c r="IP48" s="90"/>
      <c r="IQ48" s="90"/>
      <c r="IR48" s="90"/>
      <c r="IS48" s="90"/>
      <c r="IT48" s="90"/>
    </row>
    <row r="49" spans="1:254" ht="15.75" x14ac:dyDescent="0.25">
      <c r="A49" s="58">
        <v>3</v>
      </c>
      <c r="B49" s="266" t="str">
        <f>Team3!$C$4</f>
        <v>Limavady</v>
      </c>
      <c r="C49" s="263">
        <v>3</v>
      </c>
      <c r="D49" s="283" t="s">
        <v>258</v>
      </c>
      <c r="E49" s="284"/>
      <c r="F49" s="289" t="s">
        <v>294</v>
      </c>
      <c r="G49" s="273">
        <v>3</v>
      </c>
      <c r="H49" s="276">
        <f t="shared" ref="H49" si="5">IF(G49="","",IF(G49=1,11, IF(G49=2,7,3)))</f>
        <v>3</v>
      </c>
      <c r="I49" s="277"/>
      <c r="J49" s="280">
        <f>H49</f>
        <v>3</v>
      </c>
      <c r="K49" s="322"/>
      <c r="L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90"/>
      <c r="AT49" s="90"/>
      <c r="AU49" s="90"/>
      <c r="AV49" s="90"/>
      <c r="AW49" s="90"/>
      <c r="AX49" s="90"/>
      <c r="AY49" s="90"/>
      <c r="AZ49" s="90"/>
      <c r="BA49" s="90"/>
      <c r="BB49" s="90"/>
      <c r="BC49" s="90"/>
      <c r="BD49" s="90"/>
      <c r="BE49" s="90"/>
      <c r="BF49" s="90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  <c r="HA49" s="90"/>
      <c r="HB49" s="90"/>
      <c r="HC49" s="90"/>
      <c r="HD49" s="90"/>
      <c r="HE49" s="90"/>
      <c r="HF49" s="90"/>
      <c r="HG49" s="90"/>
      <c r="HH49" s="90"/>
      <c r="HI49" s="90"/>
      <c r="HJ49" s="90"/>
      <c r="HK49" s="90"/>
      <c r="HL49" s="90"/>
      <c r="HM49" s="90"/>
      <c r="HN49" s="90"/>
      <c r="HO49" s="90"/>
      <c r="HP49" s="90"/>
      <c r="HQ49" s="90"/>
      <c r="HR49" s="90"/>
      <c r="HS49" s="90"/>
      <c r="HT49" s="90"/>
      <c r="HU49" s="90"/>
      <c r="HV49" s="90"/>
      <c r="HW49" s="90"/>
      <c r="HX49" s="90"/>
      <c r="HY49" s="90"/>
      <c r="HZ49" s="90"/>
      <c r="IA49" s="90"/>
      <c r="IB49" s="90"/>
      <c r="IC49" s="90"/>
      <c r="ID49" s="90"/>
      <c r="IE49" s="90"/>
      <c r="IF49" s="90"/>
      <c r="IG49" s="90"/>
      <c r="IH49" s="90"/>
      <c r="II49" s="90"/>
      <c r="IJ49" s="90"/>
      <c r="IK49" s="90"/>
      <c r="IL49" s="90"/>
      <c r="IM49" s="90"/>
      <c r="IN49" s="90"/>
      <c r="IO49" s="90"/>
      <c r="IP49" s="90"/>
      <c r="IQ49" s="90"/>
      <c r="IR49" s="90"/>
      <c r="IS49" s="90"/>
      <c r="IT49" s="90"/>
    </row>
    <row r="50" spans="1:254" ht="15.75" x14ac:dyDescent="0.25">
      <c r="A50" s="58"/>
      <c r="B50" s="267"/>
      <c r="C50" s="264"/>
      <c r="D50" s="283" t="str">
        <f>IF(Team3!C11="","",Team3!C11)</f>
        <v>Alexander Blaha</v>
      </c>
      <c r="E50" s="284"/>
      <c r="F50" s="286"/>
      <c r="G50" s="274"/>
      <c r="H50" s="276"/>
      <c r="I50" s="278"/>
      <c r="J50" s="281"/>
      <c r="K50" s="323"/>
      <c r="L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  <c r="AT50" s="90"/>
      <c r="AU50" s="90"/>
      <c r="AV50" s="90"/>
      <c r="AW50" s="90"/>
      <c r="AX50" s="90"/>
      <c r="AY50" s="90"/>
      <c r="AZ50" s="90"/>
      <c r="BA50" s="90"/>
      <c r="BB50" s="90"/>
      <c r="BC50" s="90"/>
      <c r="BD50" s="90"/>
      <c r="BE50" s="90"/>
      <c r="BF50" s="90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  <c r="HA50" s="90"/>
      <c r="HB50" s="90"/>
      <c r="HC50" s="90"/>
      <c r="HD50" s="90"/>
      <c r="HE50" s="90"/>
      <c r="HF50" s="90"/>
      <c r="HG50" s="90"/>
      <c r="HH50" s="90"/>
      <c r="HI50" s="90"/>
      <c r="HJ50" s="90"/>
      <c r="HK50" s="90"/>
      <c r="HL50" s="90"/>
      <c r="HM50" s="90"/>
      <c r="HN50" s="90"/>
      <c r="HO50" s="90"/>
      <c r="HP50" s="90"/>
      <c r="HQ50" s="90"/>
      <c r="HR50" s="90"/>
      <c r="HS50" s="90"/>
      <c r="HT50" s="90"/>
      <c r="HU50" s="90"/>
      <c r="HV50" s="90"/>
      <c r="HW50" s="90"/>
      <c r="HX50" s="90"/>
      <c r="HY50" s="90"/>
      <c r="HZ50" s="90"/>
      <c r="IA50" s="90"/>
      <c r="IB50" s="90"/>
      <c r="IC50" s="90"/>
      <c r="ID50" s="90"/>
      <c r="IE50" s="90"/>
      <c r="IF50" s="90"/>
      <c r="IG50" s="90"/>
      <c r="IH50" s="90"/>
      <c r="II50" s="90"/>
      <c r="IJ50" s="90"/>
      <c r="IK50" s="90"/>
      <c r="IL50" s="90"/>
      <c r="IM50" s="90"/>
      <c r="IN50" s="90"/>
      <c r="IO50" s="90"/>
      <c r="IP50" s="90"/>
      <c r="IQ50" s="90"/>
      <c r="IR50" s="90"/>
      <c r="IS50" s="90"/>
      <c r="IT50" s="90"/>
    </row>
    <row r="51" spans="1:254" ht="15.75" x14ac:dyDescent="0.25">
      <c r="A51" s="58" t="s">
        <v>27</v>
      </c>
      <c r="B51" s="267"/>
      <c r="C51" s="264"/>
      <c r="D51" s="283" t="s">
        <v>260</v>
      </c>
      <c r="E51" s="284"/>
      <c r="F51" s="286"/>
      <c r="G51" s="274"/>
      <c r="H51" s="276"/>
      <c r="I51" s="278"/>
      <c r="J51" s="281"/>
      <c r="K51" s="323"/>
      <c r="L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90"/>
      <c r="AT51" s="90"/>
      <c r="AU51" s="90"/>
      <c r="AV51" s="90"/>
      <c r="AW51" s="90"/>
      <c r="AX51" s="90"/>
      <c r="AY51" s="90"/>
      <c r="AZ51" s="90"/>
      <c r="BA51" s="90"/>
      <c r="BB51" s="90"/>
      <c r="BC51" s="90"/>
      <c r="BD51" s="90"/>
      <c r="BE51" s="90"/>
      <c r="BF51" s="90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  <c r="HA51" s="90"/>
      <c r="HB51" s="90"/>
      <c r="HC51" s="90"/>
      <c r="HD51" s="90"/>
      <c r="HE51" s="90"/>
      <c r="HF51" s="90"/>
      <c r="HG51" s="90"/>
      <c r="HH51" s="90"/>
      <c r="HI51" s="90"/>
      <c r="HJ51" s="90"/>
      <c r="HK51" s="90"/>
      <c r="HL51" s="90"/>
      <c r="HM51" s="90"/>
      <c r="HN51" s="90"/>
      <c r="HO51" s="90"/>
      <c r="HP51" s="90"/>
      <c r="HQ51" s="90"/>
      <c r="HR51" s="90"/>
      <c r="HS51" s="90"/>
      <c r="HT51" s="90"/>
      <c r="HU51" s="90"/>
      <c r="HV51" s="90"/>
      <c r="HW51" s="90"/>
      <c r="HX51" s="90"/>
      <c r="HY51" s="90"/>
      <c r="HZ51" s="90"/>
      <c r="IA51" s="90"/>
      <c r="IB51" s="90"/>
      <c r="IC51" s="90"/>
      <c r="ID51" s="90"/>
      <c r="IE51" s="90"/>
      <c r="IF51" s="90"/>
      <c r="IG51" s="90"/>
      <c r="IH51" s="90"/>
      <c r="II51" s="90"/>
      <c r="IJ51" s="90"/>
      <c r="IK51" s="90"/>
      <c r="IL51" s="90"/>
      <c r="IM51" s="90"/>
      <c r="IN51" s="90"/>
      <c r="IO51" s="90"/>
      <c r="IP51" s="90"/>
      <c r="IQ51" s="90"/>
      <c r="IR51" s="90"/>
      <c r="IS51" s="90"/>
      <c r="IT51" s="90"/>
    </row>
    <row r="52" spans="1:254" ht="16.5" thickBot="1" x14ac:dyDescent="0.3">
      <c r="A52" s="58"/>
      <c r="B52" s="268"/>
      <c r="C52" s="272"/>
      <c r="D52" s="283" t="s">
        <v>261</v>
      </c>
      <c r="E52" s="284"/>
      <c r="F52" s="287"/>
      <c r="G52" s="275"/>
      <c r="H52" s="276"/>
      <c r="I52" s="279"/>
      <c r="J52" s="282"/>
      <c r="K52" s="324"/>
      <c r="L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0"/>
      <c r="AS52" s="90"/>
      <c r="AT52" s="90"/>
      <c r="AU52" s="90"/>
      <c r="AV52" s="90"/>
      <c r="AW52" s="90"/>
      <c r="AX52" s="90"/>
      <c r="AY52" s="90"/>
      <c r="AZ52" s="90"/>
      <c r="BA52" s="90"/>
      <c r="BB52" s="90"/>
      <c r="BC52" s="90"/>
      <c r="BD52" s="90"/>
      <c r="BE52" s="90"/>
      <c r="BF52" s="90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  <c r="HA52" s="90"/>
      <c r="HB52" s="90"/>
      <c r="HC52" s="90"/>
      <c r="HD52" s="90"/>
      <c r="HE52" s="90"/>
      <c r="HF52" s="90"/>
      <c r="HG52" s="90"/>
      <c r="HH52" s="90"/>
      <c r="HI52" s="90"/>
      <c r="HJ52" s="90"/>
      <c r="HK52" s="90"/>
      <c r="HL52" s="90"/>
      <c r="HM52" s="90"/>
      <c r="HN52" s="90"/>
      <c r="HO52" s="90"/>
      <c r="HP52" s="90"/>
      <c r="HQ52" s="90"/>
      <c r="HR52" s="90"/>
      <c r="HS52" s="90"/>
      <c r="HT52" s="90"/>
      <c r="HU52" s="90"/>
      <c r="HV52" s="90"/>
      <c r="HW52" s="90"/>
      <c r="HX52" s="90"/>
      <c r="HY52" s="90"/>
      <c r="HZ52" s="90"/>
      <c r="IA52" s="90"/>
      <c r="IB52" s="90"/>
      <c r="IC52" s="90"/>
      <c r="ID52" s="90"/>
      <c r="IE52" s="90"/>
      <c r="IF52" s="90"/>
      <c r="IG52" s="90"/>
      <c r="IH52" s="90"/>
      <c r="II52" s="90"/>
      <c r="IJ52" s="90"/>
      <c r="IK52" s="90"/>
      <c r="IL52" s="90"/>
      <c r="IM52" s="90"/>
      <c r="IN52" s="90"/>
      <c r="IO52" s="90"/>
      <c r="IP52" s="90"/>
      <c r="IQ52" s="90"/>
      <c r="IR52" s="90"/>
      <c r="IS52" s="90"/>
      <c r="IT52" s="90"/>
    </row>
    <row r="53" spans="1:254" ht="15" customHeight="1" x14ac:dyDescent="0.2">
      <c r="A53" s="162"/>
      <c r="B53" s="266" t="str">
        <f>Team1!$C$4</f>
        <v>Coleraine</v>
      </c>
      <c r="C53" s="264">
        <v>5</v>
      </c>
      <c r="D53" s="283" t="str">
        <f>IF(Team1!D10="","",Team1!D10)</f>
        <v xml:space="preserve">Daniel Eakin </v>
      </c>
      <c r="E53" s="284"/>
      <c r="F53" s="289" t="s">
        <v>292</v>
      </c>
      <c r="G53" s="291">
        <v>1</v>
      </c>
      <c r="H53" s="276">
        <f t="shared" ref="H53" si="6">IF(G53="","",IF(G53=1,11, IF(G53=2,7,3)))</f>
        <v>11</v>
      </c>
      <c r="I53" s="294"/>
      <c r="J53" s="269"/>
      <c r="K53" s="308">
        <f>H53</f>
        <v>11</v>
      </c>
      <c r="L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  <c r="AZ53" s="90"/>
      <c r="BA53" s="90"/>
      <c r="BB53" s="90"/>
      <c r="BC53" s="90"/>
      <c r="BD53" s="90"/>
      <c r="BE53" s="90"/>
      <c r="BF53" s="90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  <c r="HA53" s="90"/>
      <c r="HB53" s="90"/>
      <c r="HC53" s="90"/>
      <c r="HD53" s="90"/>
      <c r="HE53" s="90"/>
      <c r="HF53" s="90"/>
      <c r="HG53" s="90"/>
      <c r="HH53" s="90"/>
      <c r="HI53" s="90"/>
      <c r="HJ53" s="90"/>
      <c r="HK53" s="90"/>
      <c r="HL53" s="90"/>
      <c r="HM53" s="90"/>
      <c r="HN53" s="90"/>
      <c r="HO53" s="90"/>
      <c r="HP53" s="90"/>
      <c r="HQ53" s="90"/>
      <c r="HR53" s="90"/>
      <c r="HS53" s="90"/>
      <c r="HT53" s="90"/>
      <c r="HU53" s="90"/>
      <c r="HV53" s="90"/>
      <c r="HW53" s="90"/>
      <c r="HX53" s="90"/>
      <c r="HY53" s="90"/>
      <c r="HZ53" s="90"/>
      <c r="IA53" s="90"/>
      <c r="IB53" s="90"/>
      <c r="IC53" s="90"/>
      <c r="ID53" s="90"/>
      <c r="IE53" s="90"/>
      <c r="IF53" s="90"/>
      <c r="IG53" s="90"/>
      <c r="IH53" s="90"/>
      <c r="II53" s="90"/>
      <c r="IJ53" s="90"/>
      <c r="IK53" s="90"/>
      <c r="IL53" s="90"/>
      <c r="IM53" s="90"/>
      <c r="IN53" s="90"/>
      <c r="IO53" s="90"/>
      <c r="IP53" s="90"/>
      <c r="IQ53" s="90"/>
      <c r="IR53" s="90"/>
      <c r="IS53" s="90"/>
      <c r="IT53" s="90"/>
    </row>
    <row r="54" spans="1:254" ht="15" customHeight="1" x14ac:dyDescent="0.2">
      <c r="A54" s="162"/>
      <c r="B54" s="267"/>
      <c r="C54" s="264"/>
      <c r="D54" s="283" t="str">
        <f>IF(Team1!D11="","",Team1!D11)</f>
        <v>Lily Jones</v>
      </c>
      <c r="E54" s="284"/>
      <c r="F54" s="286"/>
      <c r="G54" s="274"/>
      <c r="H54" s="276"/>
      <c r="I54" s="295"/>
      <c r="J54" s="270"/>
      <c r="K54" s="309"/>
      <c r="L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0"/>
      <c r="AS54" s="90"/>
      <c r="AT54" s="90"/>
      <c r="AU54" s="90"/>
      <c r="AV54" s="90"/>
      <c r="AW54" s="90"/>
      <c r="AX54" s="90"/>
      <c r="AY54" s="90"/>
      <c r="AZ54" s="90"/>
      <c r="BA54" s="90"/>
      <c r="BB54" s="90"/>
      <c r="BC54" s="90"/>
      <c r="BD54" s="90"/>
      <c r="BE54" s="90"/>
      <c r="BF54" s="90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  <c r="HA54" s="90"/>
      <c r="HB54" s="90"/>
      <c r="HC54" s="90"/>
      <c r="HD54" s="90"/>
      <c r="HE54" s="90"/>
      <c r="HF54" s="90"/>
      <c r="HG54" s="90"/>
      <c r="HH54" s="90"/>
      <c r="HI54" s="90"/>
      <c r="HJ54" s="90"/>
      <c r="HK54" s="90"/>
      <c r="HL54" s="90"/>
      <c r="HM54" s="90"/>
      <c r="HN54" s="90"/>
      <c r="HO54" s="90"/>
      <c r="HP54" s="90"/>
      <c r="HQ54" s="90"/>
      <c r="HR54" s="90"/>
      <c r="HS54" s="90"/>
      <c r="HT54" s="90"/>
      <c r="HU54" s="90"/>
      <c r="HV54" s="90"/>
      <c r="HW54" s="90"/>
      <c r="HX54" s="90"/>
      <c r="HY54" s="90"/>
      <c r="HZ54" s="90"/>
      <c r="IA54" s="90"/>
      <c r="IB54" s="90"/>
      <c r="IC54" s="90"/>
      <c r="ID54" s="90"/>
      <c r="IE54" s="90"/>
      <c r="IF54" s="90"/>
      <c r="IG54" s="90"/>
      <c r="IH54" s="90"/>
      <c r="II54" s="90"/>
      <c r="IJ54" s="90"/>
      <c r="IK54" s="90"/>
      <c r="IL54" s="90"/>
      <c r="IM54" s="90"/>
      <c r="IN54" s="90"/>
      <c r="IO54" s="90"/>
      <c r="IP54" s="90"/>
      <c r="IQ54" s="90"/>
      <c r="IR54" s="90"/>
      <c r="IS54" s="90"/>
      <c r="IT54" s="90"/>
    </row>
    <row r="55" spans="1:254" ht="15" customHeight="1" x14ac:dyDescent="0.2">
      <c r="A55" s="162"/>
      <c r="B55" s="267"/>
      <c r="C55" s="264"/>
      <c r="D55" s="283" t="str">
        <f>IF(Team1!D12="","",Team1!D12)</f>
        <v>Kioni Little</v>
      </c>
      <c r="E55" s="284"/>
      <c r="F55" s="286"/>
      <c r="G55" s="274"/>
      <c r="H55" s="276"/>
      <c r="I55" s="295"/>
      <c r="J55" s="270"/>
      <c r="K55" s="309"/>
      <c r="L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  <c r="AT55" s="90"/>
      <c r="AU55" s="90"/>
      <c r="AV55" s="90"/>
      <c r="AW55" s="90"/>
      <c r="AX55" s="90"/>
      <c r="AY55" s="90"/>
      <c r="AZ55" s="90"/>
      <c r="BA55" s="90"/>
      <c r="BB55" s="90"/>
      <c r="BC55" s="90"/>
      <c r="BD55" s="90"/>
      <c r="BE55" s="90"/>
      <c r="BF55" s="90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  <c r="HA55" s="90"/>
      <c r="HB55" s="90"/>
      <c r="HC55" s="90"/>
      <c r="HD55" s="90"/>
      <c r="HE55" s="90"/>
      <c r="HF55" s="90"/>
      <c r="HG55" s="90"/>
      <c r="HH55" s="90"/>
      <c r="HI55" s="90"/>
      <c r="HJ55" s="90"/>
      <c r="HK55" s="90"/>
      <c r="HL55" s="90"/>
      <c r="HM55" s="90"/>
      <c r="HN55" s="90"/>
      <c r="HO55" s="90"/>
      <c r="HP55" s="90"/>
      <c r="HQ55" s="90"/>
      <c r="HR55" s="90"/>
      <c r="HS55" s="90"/>
      <c r="HT55" s="90"/>
      <c r="HU55" s="90"/>
      <c r="HV55" s="90"/>
      <c r="HW55" s="90"/>
      <c r="HX55" s="90"/>
      <c r="HY55" s="90"/>
      <c r="HZ55" s="90"/>
      <c r="IA55" s="90"/>
      <c r="IB55" s="90"/>
      <c r="IC55" s="90"/>
      <c r="ID55" s="90"/>
      <c r="IE55" s="90"/>
      <c r="IF55" s="90"/>
      <c r="IG55" s="90"/>
      <c r="IH55" s="90"/>
      <c r="II55" s="90"/>
      <c r="IJ55" s="90"/>
      <c r="IK55" s="90"/>
      <c r="IL55" s="90"/>
      <c r="IM55" s="90"/>
      <c r="IN55" s="90"/>
      <c r="IO55" s="90"/>
      <c r="IP55" s="90"/>
      <c r="IQ55" s="90"/>
      <c r="IR55" s="90"/>
      <c r="IS55" s="90"/>
      <c r="IT55" s="90"/>
    </row>
    <row r="56" spans="1:254" ht="15.75" customHeight="1" thickBot="1" x14ac:dyDescent="0.25">
      <c r="A56" s="51"/>
      <c r="B56" s="268"/>
      <c r="C56" s="288"/>
      <c r="D56" s="311" t="str">
        <f>IF(Team1!D13="","",Team1!D13)</f>
        <v>Riona Cassidy</v>
      </c>
      <c r="E56" s="312"/>
      <c r="F56" s="290"/>
      <c r="G56" s="292"/>
      <c r="H56" s="293"/>
      <c r="I56" s="296"/>
      <c r="J56" s="271"/>
      <c r="K56" s="310"/>
      <c r="L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C56" s="90"/>
      <c r="BD56" s="90"/>
      <c r="BE56" s="90"/>
      <c r="BF56" s="90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  <c r="HA56" s="90"/>
      <c r="HB56" s="90"/>
      <c r="HC56" s="90"/>
      <c r="HD56" s="90"/>
      <c r="HE56" s="90"/>
      <c r="HF56" s="90"/>
      <c r="HG56" s="90"/>
      <c r="HH56" s="90"/>
      <c r="HI56" s="90"/>
      <c r="HJ56" s="90"/>
      <c r="HK56" s="90"/>
      <c r="HL56" s="90"/>
      <c r="HM56" s="90"/>
      <c r="HN56" s="90"/>
      <c r="HO56" s="90"/>
      <c r="HP56" s="90"/>
      <c r="HQ56" s="90"/>
      <c r="HR56" s="90"/>
      <c r="HS56" s="90"/>
      <c r="HT56" s="90"/>
      <c r="HU56" s="90"/>
      <c r="HV56" s="90"/>
      <c r="HW56" s="90"/>
      <c r="HX56" s="90"/>
      <c r="HY56" s="90"/>
      <c r="HZ56" s="90"/>
      <c r="IA56" s="90"/>
      <c r="IB56" s="90"/>
      <c r="IC56" s="90"/>
      <c r="ID56" s="90"/>
      <c r="IE56" s="90"/>
      <c r="IF56" s="90"/>
      <c r="IG56" s="90"/>
      <c r="IH56" s="90"/>
      <c r="II56" s="90"/>
      <c r="IJ56" s="90"/>
      <c r="IK56" s="90"/>
      <c r="IL56" s="90"/>
      <c r="IM56" s="90"/>
      <c r="IN56" s="90"/>
      <c r="IO56" s="90"/>
      <c r="IP56" s="90"/>
      <c r="IQ56" s="90"/>
      <c r="IR56" s="90"/>
      <c r="IS56" s="90"/>
      <c r="IT56" s="90"/>
    </row>
    <row r="57" spans="1:254" ht="15.75" x14ac:dyDescent="0.25">
      <c r="A57" s="49"/>
      <c r="B57" s="266" t="str">
        <f>Team2!$C$4</f>
        <v>Lisburn</v>
      </c>
      <c r="C57" s="263">
        <v>4</v>
      </c>
      <c r="D57" s="334" t="str">
        <f>IF(Team2!G10="","",Team2!G10)</f>
        <v>Alfie Shawe</v>
      </c>
      <c r="E57" s="335"/>
      <c r="F57" s="285" t="s">
        <v>295</v>
      </c>
      <c r="G57" s="321">
        <v>1</v>
      </c>
      <c r="H57" s="332">
        <f>IF(G57="","",IF(G57=1,11, IF(G57=2,7,3)))</f>
        <v>11</v>
      </c>
      <c r="I57" s="329">
        <f>H57</f>
        <v>11</v>
      </c>
      <c r="J57" s="317"/>
      <c r="K57" s="327"/>
      <c r="L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  <c r="HA57" s="90"/>
      <c r="HB57" s="90"/>
      <c r="HC57" s="90"/>
      <c r="HD57" s="90"/>
      <c r="HE57" s="90"/>
      <c r="HF57" s="90"/>
      <c r="HG57" s="90"/>
      <c r="HH57" s="90"/>
      <c r="HI57" s="90"/>
      <c r="HJ57" s="90"/>
      <c r="HK57" s="90"/>
      <c r="HL57" s="90"/>
      <c r="HM57" s="90"/>
      <c r="HN57" s="90"/>
      <c r="HO57" s="90"/>
      <c r="HP57" s="90"/>
      <c r="HQ57" s="90"/>
      <c r="HR57" s="90"/>
      <c r="HS57" s="90"/>
      <c r="HT57" s="90"/>
      <c r="HU57" s="90"/>
      <c r="HV57" s="90"/>
      <c r="HW57" s="90"/>
      <c r="HX57" s="90"/>
      <c r="HY57" s="90"/>
      <c r="HZ57" s="90"/>
      <c r="IA57" s="90"/>
      <c r="IB57" s="90"/>
      <c r="IC57" s="90"/>
      <c r="ID57" s="90"/>
      <c r="IE57" s="90"/>
      <c r="IF57" s="90"/>
      <c r="IG57" s="90"/>
      <c r="IH57" s="90"/>
      <c r="II57" s="90"/>
      <c r="IJ57" s="90"/>
      <c r="IK57" s="90"/>
      <c r="IL57" s="90"/>
      <c r="IM57" s="90"/>
      <c r="IN57" s="90"/>
      <c r="IO57" s="90"/>
      <c r="IP57" s="90"/>
      <c r="IQ57" s="90"/>
      <c r="IR57" s="90"/>
      <c r="IS57" s="90"/>
      <c r="IT57" s="90"/>
    </row>
    <row r="58" spans="1:254" ht="15.75" x14ac:dyDescent="0.25">
      <c r="A58" s="57"/>
      <c r="B58" s="267"/>
      <c r="C58" s="264"/>
      <c r="D58" s="283" t="str">
        <f>IF(Team2!G11="","",Team2!G11)</f>
        <v>Tom Keys</v>
      </c>
      <c r="E58" s="284"/>
      <c r="F58" s="286"/>
      <c r="G58" s="274"/>
      <c r="H58" s="276"/>
      <c r="I58" s="330"/>
      <c r="J58" s="270"/>
      <c r="K58" s="328"/>
      <c r="L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/>
      <c r="AQ58" s="90"/>
      <c r="AR58" s="90"/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C58" s="90"/>
      <c r="BD58" s="90"/>
      <c r="BE58" s="90"/>
      <c r="BF58" s="90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  <c r="HA58" s="90"/>
      <c r="HB58" s="90"/>
      <c r="HC58" s="90"/>
      <c r="HD58" s="90"/>
      <c r="HE58" s="90"/>
      <c r="HF58" s="90"/>
      <c r="HG58" s="90"/>
      <c r="HH58" s="90"/>
      <c r="HI58" s="90"/>
      <c r="HJ58" s="90"/>
      <c r="HK58" s="90"/>
      <c r="HL58" s="90"/>
      <c r="HM58" s="90"/>
      <c r="HN58" s="90"/>
      <c r="HO58" s="90"/>
      <c r="HP58" s="90"/>
      <c r="HQ58" s="90"/>
      <c r="HR58" s="90"/>
      <c r="HS58" s="90"/>
      <c r="HT58" s="90"/>
      <c r="HU58" s="90"/>
      <c r="HV58" s="90"/>
      <c r="HW58" s="90"/>
      <c r="HX58" s="90"/>
      <c r="HY58" s="90"/>
      <c r="HZ58" s="90"/>
      <c r="IA58" s="90"/>
      <c r="IB58" s="90"/>
      <c r="IC58" s="90"/>
      <c r="ID58" s="90"/>
      <c r="IE58" s="90"/>
      <c r="IF58" s="90"/>
      <c r="IG58" s="90"/>
      <c r="IH58" s="90"/>
      <c r="II58" s="90"/>
      <c r="IJ58" s="90"/>
      <c r="IK58" s="90"/>
      <c r="IL58" s="90"/>
      <c r="IM58" s="90"/>
      <c r="IN58" s="90"/>
      <c r="IO58" s="90"/>
      <c r="IP58" s="90"/>
      <c r="IQ58" s="90"/>
      <c r="IR58" s="90"/>
      <c r="IS58" s="90"/>
      <c r="IT58" s="90"/>
    </row>
    <row r="59" spans="1:254" ht="15.75" x14ac:dyDescent="0.25">
      <c r="A59" s="57"/>
      <c r="B59" s="267"/>
      <c r="C59" s="264"/>
      <c r="D59" s="283" t="str">
        <f>IF(Team2!G12="","",Team2!G12)</f>
        <v>Emily Coleman</v>
      </c>
      <c r="E59" s="284"/>
      <c r="F59" s="286"/>
      <c r="G59" s="274"/>
      <c r="H59" s="276"/>
      <c r="I59" s="330"/>
      <c r="J59" s="270"/>
      <c r="K59" s="328"/>
      <c r="L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C59" s="90"/>
      <c r="BD59" s="90"/>
      <c r="BE59" s="90"/>
      <c r="BF59" s="90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  <c r="HA59" s="90"/>
      <c r="HB59" s="90"/>
      <c r="HC59" s="90"/>
      <c r="HD59" s="90"/>
      <c r="HE59" s="90"/>
      <c r="HF59" s="90"/>
      <c r="HG59" s="90"/>
      <c r="HH59" s="90"/>
      <c r="HI59" s="90"/>
      <c r="HJ59" s="90"/>
      <c r="HK59" s="90"/>
      <c r="HL59" s="90"/>
      <c r="HM59" s="90"/>
      <c r="HN59" s="90"/>
      <c r="HO59" s="90"/>
      <c r="HP59" s="90"/>
      <c r="HQ59" s="90"/>
      <c r="HR59" s="90"/>
      <c r="HS59" s="90"/>
      <c r="HT59" s="90"/>
      <c r="HU59" s="90"/>
      <c r="HV59" s="90"/>
      <c r="HW59" s="90"/>
      <c r="HX59" s="90"/>
      <c r="HY59" s="90"/>
      <c r="HZ59" s="90"/>
      <c r="IA59" s="90"/>
      <c r="IB59" s="90"/>
      <c r="IC59" s="90"/>
      <c r="ID59" s="90"/>
      <c r="IE59" s="90"/>
      <c r="IF59" s="90"/>
      <c r="IG59" s="90"/>
      <c r="IH59" s="90"/>
      <c r="II59" s="90"/>
      <c r="IJ59" s="90"/>
      <c r="IK59" s="90"/>
      <c r="IL59" s="90"/>
      <c r="IM59" s="90"/>
      <c r="IN59" s="90"/>
      <c r="IO59" s="90"/>
      <c r="IP59" s="90"/>
      <c r="IQ59" s="90"/>
      <c r="IR59" s="90"/>
      <c r="IS59" s="90"/>
      <c r="IT59" s="90"/>
    </row>
    <row r="60" spans="1:254" ht="15.75" customHeight="1" thickBot="1" x14ac:dyDescent="0.25">
      <c r="A60" s="196"/>
      <c r="B60" s="268"/>
      <c r="C60" s="265"/>
      <c r="D60" s="283" t="str">
        <f>IF(Team2!G13="","",Team2!G13)</f>
        <v xml:space="preserve">Isobel Lamont </v>
      </c>
      <c r="E60" s="284"/>
      <c r="F60" s="287"/>
      <c r="G60" s="275"/>
      <c r="H60" s="333"/>
      <c r="I60" s="331"/>
      <c r="J60" s="318"/>
      <c r="K60" s="328"/>
      <c r="L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  <c r="HA60" s="90"/>
      <c r="HB60" s="90"/>
      <c r="HC60" s="90"/>
      <c r="HD60" s="90"/>
      <c r="HE60" s="90"/>
      <c r="HF60" s="90"/>
      <c r="HG60" s="90"/>
      <c r="HH60" s="90"/>
      <c r="HI60" s="90"/>
      <c r="HJ60" s="90"/>
      <c r="HK60" s="90"/>
      <c r="HL60" s="90"/>
      <c r="HM60" s="90"/>
      <c r="HN60" s="90"/>
      <c r="HO60" s="90"/>
      <c r="HP60" s="90"/>
      <c r="HQ60" s="90"/>
      <c r="HR60" s="90"/>
      <c r="HS60" s="90"/>
      <c r="HT60" s="90"/>
      <c r="HU60" s="90"/>
      <c r="HV60" s="90"/>
      <c r="HW60" s="90"/>
      <c r="HX60" s="90"/>
      <c r="HY60" s="90"/>
      <c r="HZ60" s="90"/>
      <c r="IA60" s="90"/>
      <c r="IB60" s="90"/>
      <c r="IC60" s="90"/>
      <c r="ID60" s="90"/>
      <c r="IE60" s="90"/>
      <c r="IF60" s="90"/>
      <c r="IG60" s="90"/>
      <c r="IH60" s="90"/>
      <c r="II60" s="90"/>
      <c r="IJ60" s="90"/>
      <c r="IK60" s="90"/>
      <c r="IL60" s="90"/>
      <c r="IM60" s="90"/>
      <c r="IN60" s="90"/>
      <c r="IO60" s="90"/>
      <c r="IP60" s="90"/>
      <c r="IQ60" s="90"/>
      <c r="IR60" s="90"/>
      <c r="IS60" s="90"/>
      <c r="IT60" s="90"/>
    </row>
    <row r="61" spans="1:254" ht="15.75" x14ac:dyDescent="0.25">
      <c r="A61" s="58">
        <v>4</v>
      </c>
      <c r="B61" s="266" t="str">
        <f>Team3!$C$4</f>
        <v>Limavady</v>
      </c>
      <c r="C61" s="314">
        <v>3</v>
      </c>
      <c r="D61" s="319" t="s">
        <v>267</v>
      </c>
      <c r="E61" s="320"/>
      <c r="F61" s="289" t="s">
        <v>297</v>
      </c>
      <c r="G61" s="273">
        <v>3</v>
      </c>
      <c r="H61" s="276">
        <f t="shared" ref="H61" si="7">IF(G61="","",IF(G61=1,11, IF(G61=2,7,3)))</f>
        <v>3</v>
      </c>
      <c r="I61" s="277"/>
      <c r="J61" s="280">
        <f>H61</f>
        <v>3</v>
      </c>
      <c r="K61" s="322"/>
      <c r="L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</row>
    <row r="62" spans="1:254" ht="15.75" x14ac:dyDescent="0.25">
      <c r="A62" s="58"/>
      <c r="B62" s="267"/>
      <c r="C62" s="315"/>
      <c r="D62" s="319" t="s">
        <v>266</v>
      </c>
      <c r="E62" s="320"/>
      <c r="F62" s="286"/>
      <c r="G62" s="274"/>
      <c r="H62" s="276"/>
      <c r="I62" s="278"/>
      <c r="J62" s="281"/>
      <c r="K62" s="323"/>
      <c r="L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Z62" s="90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</row>
    <row r="63" spans="1:254" ht="15.75" x14ac:dyDescent="0.25">
      <c r="A63" s="58" t="s">
        <v>28</v>
      </c>
      <c r="B63" s="267"/>
      <c r="C63" s="315"/>
      <c r="D63" s="319" t="s">
        <v>268</v>
      </c>
      <c r="E63" s="320"/>
      <c r="F63" s="286"/>
      <c r="G63" s="274"/>
      <c r="H63" s="276"/>
      <c r="I63" s="278"/>
      <c r="J63" s="281"/>
      <c r="K63" s="323"/>
      <c r="L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</row>
    <row r="64" spans="1:254" ht="16.5" thickBot="1" x14ac:dyDescent="0.3">
      <c r="A64" s="58"/>
      <c r="B64" s="268"/>
      <c r="C64" s="316"/>
      <c r="D64" s="319" t="s">
        <v>269</v>
      </c>
      <c r="E64" s="320"/>
      <c r="F64" s="287"/>
      <c r="G64" s="275"/>
      <c r="H64" s="276"/>
      <c r="I64" s="279"/>
      <c r="J64" s="282"/>
      <c r="K64" s="324"/>
      <c r="L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</row>
    <row r="65" spans="1:254" ht="15" customHeight="1" x14ac:dyDescent="0.2">
      <c r="A65" s="162"/>
      <c r="B65" s="266" t="str">
        <f>Team1!$C$4</f>
        <v>Coleraine</v>
      </c>
      <c r="C65" s="326">
        <v>5</v>
      </c>
      <c r="D65" s="283" t="str">
        <f>IF(Team1!H34="","",Team1!H34)</f>
        <v>Emma Price</v>
      </c>
      <c r="E65" s="284" t="str">
        <f>IF(Team1!B56="","",Team1!B56)</f>
        <v/>
      </c>
      <c r="F65" s="289" t="s">
        <v>296</v>
      </c>
      <c r="G65" s="291">
        <v>2</v>
      </c>
      <c r="H65" s="276">
        <f t="shared" ref="H65" si="8">IF(G65="","",IF(G65=1,11, IF(G65=2,7,3)))</f>
        <v>7</v>
      </c>
      <c r="I65" s="294"/>
      <c r="J65" s="269"/>
      <c r="K65" s="308">
        <f>H65</f>
        <v>7</v>
      </c>
      <c r="L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</row>
    <row r="66" spans="1:254" ht="15" customHeight="1" x14ac:dyDescent="0.2">
      <c r="A66" s="162"/>
      <c r="B66" s="267"/>
      <c r="C66" s="264"/>
      <c r="D66" s="283" t="str">
        <f>IF(Team1!H35="","",Team1!H35)</f>
        <v>Fionnan Duffin</v>
      </c>
      <c r="E66" s="284" t="str">
        <f>IF(Team1!B57="","",Team1!B57)</f>
        <v/>
      </c>
      <c r="F66" s="286"/>
      <c r="G66" s="274"/>
      <c r="H66" s="276"/>
      <c r="I66" s="295"/>
      <c r="J66" s="270"/>
      <c r="K66" s="309"/>
      <c r="L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</row>
    <row r="67" spans="1:254" ht="15" customHeight="1" x14ac:dyDescent="0.2">
      <c r="A67" s="162"/>
      <c r="B67" s="267"/>
      <c r="C67" s="264"/>
      <c r="D67" s="283" t="str">
        <f>IF(Team1!H36="","",Team1!H36)</f>
        <v>Isaac Duddy</v>
      </c>
      <c r="E67" s="284" t="str">
        <f>IF(Team1!B58="","",Team1!B58)</f>
        <v/>
      </c>
      <c r="F67" s="286"/>
      <c r="G67" s="274"/>
      <c r="H67" s="276"/>
      <c r="I67" s="295"/>
      <c r="J67" s="270"/>
      <c r="K67" s="309"/>
      <c r="L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</row>
    <row r="68" spans="1:254" ht="15.75" customHeight="1" thickBot="1" x14ac:dyDescent="0.25">
      <c r="A68" s="51"/>
      <c r="B68" s="325"/>
      <c r="C68" s="288"/>
      <c r="D68" s="283" t="str">
        <f>IF(Team1!H37="","",Team1!H37)</f>
        <v>Isla McClelland</v>
      </c>
      <c r="E68" s="284" t="str">
        <f>IF(Team1!B59="","",Team1!B59)</f>
        <v/>
      </c>
      <c r="F68" s="290"/>
      <c r="G68" s="292"/>
      <c r="H68" s="293"/>
      <c r="I68" s="296"/>
      <c r="J68" s="271"/>
      <c r="K68" s="310"/>
      <c r="L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</row>
    <row r="69" spans="1:254" ht="15.75" x14ac:dyDescent="0.25">
      <c r="A69" s="61"/>
      <c r="B69" s="181"/>
      <c r="C69" s="62"/>
      <c r="D69" s="63"/>
      <c r="E69" s="63"/>
      <c r="F69" s="59"/>
      <c r="G69" s="60" t="s">
        <v>137</v>
      </c>
      <c r="H69" s="60"/>
      <c r="I69" s="216">
        <f>SUM(I45,I57)</f>
        <v>18</v>
      </c>
      <c r="J69" s="217">
        <f>SUM(J49,J61)</f>
        <v>6</v>
      </c>
      <c r="K69" s="218">
        <f>SUM(K53,K65)</f>
        <v>18</v>
      </c>
    </row>
    <row r="70" spans="1:254" ht="15.75" x14ac:dyDescent="0.25">
      <c r="A70" s="61"/>
      <c r="B70" s="181"/>
      <c r="C70" s="62"/>
      <c r="D70" s="63"/>
      <c r="E70" s="63"/>
      <c r="F70" s="62"/>
      <c r="G70" s="64" t="s">
        <v>138</v>
      </c>
      <c r="H70" s="64"/>
      <c r="I70" s="219">
        <f>I40</f>
        <v>14</v>
      </c>
      <c r="J70" s="220">
        <f>J40</f>
        <v>18</v>
      </c>
      <c r="K70" s="221">
        <f>K40</f>
        <v>10</v>
      </c>
    </row>
    <row r="71" spans="1:254" ht="16.5" thickBot="1" x14ac:dyDescent="0.3">
      <c r="A71" s="65"/>
      <c r="B71" s="180"/>
      <c r="C71" s="46"/>
      <c r="D71" s="48"/>
      <c r="E71" s="48"/>
      <c r="F71" s="46"/>
      <c r="G71" s="66" t="s">
        <v>40</v>
      </c>
      <c r="H71" s="66"/>
      <c r="I71" s="189">
        <f>IF(SUM(I69:I70)=0,"",SUM(I69:I70))</f>
        <v>32</v>
      </c>
      <c r="J71" s="190">
        <f t="shared" ref="J71:K71" si="9">IF(SUM(J69:J70)=0,"",SUM(J69:J70))</f>
        <v>24</v>
      </c>
      <c r="K71" s="191">
        <f t="shared" si="9"/>
        <v>28</v>
      </c>
    </row>
    <row r="72" spans="1:254" ht="15" customHeight="1" x14ac:dyDescent="0.2">
      <c r="A72" s="28"/>
      <c r="B72" s="177"/>
      <c r="C72" s="28"/>
      <c r="D72" s="28"/>
      <c r="E72" s="28"/>
      <c r="F72" s="28"/>
      <c r="G72" s="28"/>
      <c r="H72" s="28"/>
      <c r="I72" s="186"/>
      <c r="J72" s="186"/>
      <c r="K72" s="186"/>
    </row>
    <row r="73" spans="1:254" ht="15" customHeight="1" x14ac:dyDescent="0.25">
      <c r="A73" s="336" t="s">
        <v>30</v>
      </c>
      <c r="B73" s="337"/>
      <c r="C73" s="337"/>
      <c r="D73" s="337"/>
      <c r="E73" s="337"/>
      <c r="F73" s="337"/>
      <c r="G73" s="337"/>
      <c r="H73" s="337"/>
      <c r="I73" s="337"/>
      <c r="J73" s="337"/>
      <c r="K73" s="337"/>
    </row>
    <row r="74" spans="1:254" ht="12.95" customHeight="1" thickBot="1" x14ac:dyDescent="0.25">
      <c r="A74" s="47"/>
      <c r="B74" s="182"/>
      <c r="C74" s="47"/>
      <c r="D74" s="47"/>
      <c r="E74" s="47"/>
      <c r="F74" s="47"/>
      <c r="G74" s="47"/>
      <c r="H74" s="47"/>
      <c r="I74" s="222"/>
      <c r="J74" s="222"/>
      <c r="K74" s="222"/>
    </row>
    <row r="75" spans="1:254" ht="12.95" customHeight="1" thickBot="1" x14ac:dyDescent="0.25">
      <c r="A75" s="67" t="s">
        <v>1</v>
      </c>
      <c r="B75" s="68" t="s">
        <v>20</v>
      </c>
      <c r="C75" s="68" t="s">
        <v>21</v>
      </c>
      <c r="D75" s="340" t="s">
        <v>22</v>
      </c>
      <c r="E75" s="341"/>
      <c r="F75" s="68" t="s">
        <v>23</v>
      </c>
      <c r="G75" s="68" t="s">
        <v>24</v>
      </c>
      <c r="H75" s="144" t="s">
        <v>16</v>
      </c>
      <c r="I75" s="342" t="s">
        <v>16</v>
      </c>
      <c r="J75" s="343"/>
      <c r="K75" s="344"/>
      <c r="N75" s="40" t="s">
        <v>148</v>
      </c>
    </row>
    <row r="76" spans="1:254" ht="12" customHeight="1" x14ac:dyDescent="0.2">
      <c r="A76" s="69"/>
      <c r="B76" s="303" t="str">
        <f>Team2!$C$4</f>
        <v>Lisburn</v>
      </c>
      <c r="C76" s="70">
        <v>4</v>
      </c>
      <c r="D76" s="338" t="str">
        <f>IF(Team2!C14="","",Team2!C14)</f>
        <v>Meave Murphy</v>
      </c>
      <c r="E76" s="345"/>
      <c r="F76" s="226">
        <v>26.59</v>
      </c>
      <c r="G76" s="227">
        <v>5</v>
      </c>
      <c r="H76" s="232">
        <f>IF(G76="","",IF(G76=6,1,IF(G76=5,2,IF(G76=4,3,IF(G76=3,4,IF(G76=2,5,6))))))</f>
        <v>2</v>
      </c>
      <c r="I76" s="297">
        <f>IF(SUM(H76:H77)=0,"",SUM(H76:H77))</f>
        <v>5</v>
      </c>
      <c r="J76" s="301"/>
      <c r="K76" s="301"/>
      <c r="N76" s="90" t="s">
        <v>166</v>
      </c>
    </row>
    <row r="77" spans="1:254" ht="12" customHeight="1" thickBot="1" x14ac:dyDescent="0.25">
      <c r="A77" s="71">
        <v>5</v>
      </c>
      <c r="B77" s="304"/>
      <c r="C77" s="72">
        <v>1</v>
      </c>
      <c r="D77" s="299" t="str">
        <f>IF(Team2!D14="","",Team2!D14)</f>
        <v>Amelia Stone</v>
      </c>
      <c r="E77" s="307"/>
      <c r="F77" s="228">
        <v>26.59</v>
      </c>
      <c r="G77" s="229">
        <v>4</v>
      </c>
      <c r="H77" s="233">
        <f t="shared" ref="H77:H81" si="10">IF(G77="","",IF(G77=6,1,IF(G77=5,2,IF(G77=4,3,IF(G77=3,4,IF(G77=2,5,6))))))</f>
        <v>3</v>
      </c>
      <c r="I77" s="298"/>
      <c r="J77" s="302"/>
      <c r="K77" s="302"/>
      <c r="N77" s="90" t="s">
        <v>161</v>
      </c>
    </row>
    <row r="78" spans="1:254" ht="12" customHeight="1" x14ac:dyDescent="0.2">
      <c r="A78" s="71" t="s">
        <v>25</v>
      </c>
      <c r="B78" s="305" t="str">
        <f>Team3!$C$4</f>
        <v>Limavady</v>
      </c>
      <c r="C78" s="72">
        <v>3</v>
      </c>
      <c r="D78" s="299" t="str">
        <f>IF(Team3!C14="","",Team3!C14)</f>
        <v>Myia Mc Clamont</v>
      </c>
      <c r="E78" s="300"/>
      <c r="F78" s="228">
        <v>26.99</v>
      </c>
      <c r="G78" s="229">
        <v>6</v>
      </c>
      <c r="H78" s="233">
        <f t="shared" si="10"/>
        <v>1</v>
      </c>
      <c r="I78" s="301"/>
      <c r="J78" s="297">
        <f>IF(SUM(H78:H79)=0,"",SUM(H78:H79))</f>
        <v>7</v>
      </c>
      <c r="K78" s="301"/>
      <c r="L78" s="90"/>
      <c r="N78" s="40" t="s">
        <v>149</v>
      </c>
      <c r="Q78" s="40">
        <f>(6+5)/2</f>
        <v>5.5</v>
      </c>
      <c r="R78" s="40" t="s">
        <v>155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  <c r="HA78" s="90"/>
      <c r="HB78" s="90"/>
      <c r="HC78" s="90"/>
      <c r="HD78" s="90"/>
      <c r="HE78" s="90"/>
      <c r="HF78" s="90"/>
      <c r="HG78" s="90"/>
      <c r="HH78" s="90"/>
      <c r="HI78" s="90"/>
      <c r="HJ78" s="90"/>
      <c r="HK78" s="90"/>
      <c r="HL78" s="90"/>
      <c r="HM78" s="90"/>
      <c r="HN78" s="90"/>
      <c r="HO78" s="90"/>
      <c r="HP78" s="90"/>
      <c r="HQ78" s="90"/>
      <c r="HR78" s="90"/>
      <c r="HS78" s="90"/>
      <c r="HT78" s="90"/>
      <c r="HU78" s="90"/>
      <c r="HV78" s="90"/>
      <c r="HW78" s="90"/>
      <c r="HX78" s="90"/>
      <c r="HY78" s="90"/>
      <c r="HZ78" s="90"/>
      <c r="IA78" s="90"/>
      <c r="IB78" s="90"/>
      <c r="IC78" s="90"/>
      <c r="ID78" s="90"/>
      <c r="IE78" s="90"/>
      <c r="IF78" s="90"/>
      <c r="IG78" s="90"/>
      <c r="IH78" s="90"/>
      <c r="II78" s="90"/>
      <c r="IJ78" s="90"/>
      <c r="IK78" s="90"/>
      <c r="IL78" s="90"/>
      <c r="IM78" s="90"/>
      <c r="IN78" s="90"/>
      <c r="IO78" s="90"/>
      <c r="IP78" s="90"/>
      <c r="IQ78" s="90"/>
      <c r="IR78" s="90"/>
      <c r="IS78" s="90"/>
      <c r="IT78" s="90"/>
    </row>
    <row r="79" spans="1:254" ht="12" customHeight="1" thickBot="1" x14ac:dyDescent="0.25">
      <c r="A79" s="71" t="s">
        <v>31</v>
      </c>
      <c r="B79" s="306"/>
      <c r="C79" s="72">
        <v>6</v>
      </c>
      <c r="D79" s="299" t="str">
        <f>IF(Team3!D14="","",Team3!D14)</f>
        <v>Caelyn O Connor</v>
      </c>
      <c r="E79" s="307"/>
      <c r="F79" s="228">
        <v>22.5</v>
      </c>
      <c r="G79" s="229">
        <v>1</v>
      </c>
      <c r="H79" s="233">
        <f t="shared" si="10"/>
        <v>6</v>
      </c>
      <c r="I79" s="302"/>
      <c r="J79" s="298"/>
      <c r="K79" s="302"/>
      <c r="L79" s="90"/>
      <c r="N79" s="40" t="s">
        <v>152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  <c r="HA79" s="90"/>
      <c r="HB79" s="90"/>
      <c r="HC79" s="90"/>
      <c r="HD79" s="90"/>
      <c r="HE79" s="90"/>
      <c r="HF79" s="90"/>
      <c r="HG79" s="90"/>
      <c r="HH79" s="90"/>
      <c r="HI79" s="90"/>
      <c r="HJ79" s="90"/>
      <c r="HK79" s="90"/>
      <c r="HL79" s="90"/>
      <c r="HM79" s="90"/>
      <c r="HN79" s="90"/>
      <c r="HO79" s="90"/>
      <c r="HP79" s="90"/>
      <c r="HQ79" s="90"/>
      <c r="HR79" s="90"/>
      <c r="HS79" s="90"/>
      <c r="HT79" s="90"/>
      <c r="HU79" s="90"/>
      <c r="HV79" s="90"/>
      <c r="HW79" s="90"/>
      <c r="HX79" s="90"/>
      <c r="HY79" s="90"/>
      <c r="HZ79" s="90"/>
      <c r="IA79" s="90"/>
      <c r="IB79" s="90"/>
      <c r="IC79" s="90"/>
      <c r="ID79" s="90"/>
      <c r="IE79" s="90"/>
      <c r="IF79" s="90"/>
      <c r="IG79" s="90"/>
      <c r="IH79" s="90"/>
      <c r="II79" s="90"/>
      <c r="IJ79" s="90"/>
      <c r="IK79" s="90"/>
      <c r="IL79" s="90"/>
      <c r="IM79" s="90"/>
      <c r="IN79" s="90"/>
      <c r="IO79" s="90"/>
      <c r="IP79" s="90"/>
      <c r="IQ79" s="90"/>
      <c r="IR79" s="90"/>
      <c r="IS79" s="90"/>
      <c r="IT79" s="90"/>
    </row>
    <row r="80" spans="1:254" ht="12" customHeight="1" x14ac:dyDescent="0.2">
      <c r="A80" s="71"/>
      <c r="B80" s="313" t="str">
        <f>Team1!$C$4</f>
        <v>Coleraine</v>
      </c>
      <c r="C80" s="174">
        <v>2</v>
      </c>
      <c r="D80" s="299" t="str">
        <f>IF(Team1!C14="","",Team1!C14)</f>
        <v>Olivia Jenkinson</v>
      </c>
      <c r="E80" s="300"/>
      <c r="F80" s="230">
        <v>25</v>
      </c>
      <c r="G80" s="231">
        <v>2</v>
      </c>
      <c r="H80" s="234">
        <f t="shared" si="10"/>
        <v>5</v>
      </c>
      <c r="I80" s="301"/>
      <c r="J80" s="301"/>
      <c r="K80" s="297">
        <f>IF(SUM(H80:H81)=0,"",SUM(H80:H81))</f>
        <v>9</v>
      </c>
      <c r="N80" s="90" t="s">
        <v>150</v>
      </c>
      <c r="O80" s="90"/>
      <c r="P80" s="90"/>
      <c r="Q80" s="90">
        <f>(5+4)/2</f>
        <v>4.5</v>
      </c>
      <c r="R80" s="90" t="s">
        <v>155</v>
      </c>
      <c r="S80" s="90"/>
    </row>
    <row r="81" spans="1:254" ht="12" customHeight="1" thickBot="1" x14ac:dyDescent="0.25">
      <c r="A81" s="73"/>
      <c r="B81" s="304"/>
      <c r="C81" s="72">
        <v>5</v>
      </c>
      <c r="D81" s="299" t="str">
        <f>IF(Team1!D14="","",Team1!D14)</f>
        <v>Robyn Little</v>
      </c>
      <c r="E81" s="307"/>
      <c r="F81" s="228">
        <v>25.58</v>
      </c>
      <c r="G81" s="229">
        <v>3</v>
      </c>
      <c r="H81" s="233">
        <f t="shared" si="10"/>
        <v>4</v>
      </c>
      <c r="I81" s="302"/>
      <c r="J81" s="302"/>
      <c r="K81" s="298"/>
      <c r="N81" s="90" t="s">
        <v>153</v>
      </c>
      <c r="O81" s="90"/>
      <c r="P81" s="90"/>
      <c r="Q81" s="90"/>
      <c r="R81" s="90"/>
      <c r="S81" s="90"/>
    </row>
    <row r="82" spans="1:254" ht="12" customHeight="1" x14ac:dyDescent="0.2">
      <c r="A82" s="69"/>
      <c r="B82" s="303" t="str">
        <f>Team2!$C$4</f>
        <v>Lisburn</v>
      </c>
      <c r="C82" s="70">
        <v>4</v>
      </c>
      <c r="D82" s="338" t="str">
        <f>IF(Team2!G14="","",Team2!G14)</f>
        <v>Harry McGlashan</v>
      </c>
      <c r="E82" s="339"/>
      <c r="F82" s="226">
        <v>21.47</v>
      </c>
      <c r="G82" s="227">
        <v>1</v>
      </c>
      <c r="H82" s="232">
        <f>IF(G82="","",IF(G82=6,1,IF(G82=5,2,IF(G82=4,3,IF(G82=3,4,IF(G82=2,5,6))))))</f>
        <v>6</v>
      </c>
      <c r="I82" s="297">
        <f>IF(SUM(H82:H83)=0,"",SUM(H82:H83))</f>
        <v>10</v>
      </c>
      <c r="J82" s="301"/>
      <c r="K82" s="301"/>
      <c r="N82" s="90" t="s">
        <v>151</v>
      </c>
      <c r="O82" s="90"/>
      <c r="P82" s="90"/>
      <c r="Q82" s="90">
        <f>(4+3)/2</f>
        <v>3.5</v>
      </c>
      <c r="R82" s="90" t="s">
        <v>155</v>
      </c>
    </row>
    <row r="83" spans="1:254" ht="12" customHeight="1" thickBot="1" x14ac:dyDescent="0.25">
      <c r="A83" s="71">
        <v>6</v>
      </c>
      <c r="B83" s="304"/>
      <c r="C83" s="72">
        <v>1</v>
      </c>
      <c r="D83" s="299" t="str">
        <f>IF(Team2!H14="","",Team2!H14)</f>
        <v>Ross Gray</v>
      </c>
      <c r="E83" s="307"/>
      <c r="F83" s="228">
        <v>24.62</v>
      </c>
      <c r="G83" s="229">
        <v>3</v>
      </c>
      <c r="H83" s="233">
        <f t="shared" ref="H83:H87" si="11">IF(G83="","",IF(G83=6,1,IF(G83=5,2,IF(G83=4,3,IF(G83=3,4,IF(G83=2,5,6))))))</f>
        <v>4</v>
      </c>
      <c r="I83" s="298"/>
      <c r="J83" s="302"/>
      <c r="K83" s="302"/>
      <c r="N83" s="90" t="s">
        <v>154</v>
      </c>
      <c r="O83" s="90"/>
      <c r="P83" s="90"/>
      <c r="Q83" s="90"/>
    </row>
    <row r="84" spans="1:254" ht="12" customHeight="1" x14ac:dyDescent="0.2">
      <c r="A84" s="71" t="s">
        <v>25</v>
      </c>
      <c r="B84" s="305" t="str">
        <f>Team3!$C$4</f>
        <v>Limavady</v>
      </c>
      <c r="C84" s="72">
        <v>3</v>
      </c>
      <c r="D84" s="299" t="str">
        <f>IF(Team3!G14="","",Team3!G14)</f>
        <v>Tom Cormie</v>
      </c>
      <c r="E84" s="307"/>
      <c r="F84" s="228">
        <v>29.68</v>
      </c>
      <c r="G84" s="229">
        <v>6</v>
      </c>
      <c r="H84" s="233">
        <f t="shared" si="11"/>
        <v>1</v>
      </c>
      <c r="I84" s="301"/>
      <c r="J84" s="297">
        <f>IF(SUM(H84:H85)=0,"",SUM(H84:H85))</f>
        <v>3</v>
      </c>
      <c r="K84" s="301"/>
      <c r="N84" s="90" t="s">
        <v>156</v>
      </c>
      <c r="O84" s="90"/>
      <c r="P84" s="90"/>
      <c r="Q84" s="90">
        <f>(3+2)/2</f>
        <v>2.5</v>
      </c>
      <c r="R84" s="90" t="s">
        <v>155</v>
      </c>
    </row>
    <row r="85" spans="1:254" ht="12" customHeight="1" thickBot="1" x14ac:dyDescent="0.25">
      <c r="A85" s="71" t="s">
        <v>32</v>
      </c>
      <c r="B85" s="306"/>
      <c r="C85" s="72">
        <v>6</v>
      </c>
      <c r="D85" s="299" t="str">
        <f>IF(Team3!H14="","",Team3!H14)</f>
        <v>Henry Connell</v>
      </c>
      <c r="E85" s="307"/>
      <c r="F85" s="228">
        <v>26.18</v>
      </c>
      <c r="G85" s="229">
        <v>5</v>
      </c>
      <c r="H85" s="233">
        <f t="shared" si="11"/>
        <v>2</v>
      </c>
      <c r="I85" s="302"/>
      <c r="J85" s="298"/>
      <c r="K85" s="302"/>
      <c r="N85" s="90" t="s">
        <v>157</v>
      </c>
      <c r="O85" s="90"/>
      <c r="P85" s="90"/>
      <c r="Q85" s="90"/>
      <c r="R85" s="90"/>
    </row>
    <row r="86" spans="1:254" ht="12" customHeight="1" x14ac:dyDescent="0.2">
      <c r="A86" s="71"/>
      <c r="B86" s="313" t="str">
        <f>Team1!$C$4</f>
        <v>Coleraine</v>
      </c>
      <c r="C86" s="174">
        <v>2</v>
      </c>
      <c r="D86" s="346" t="str">
        <f>IF(Team1!G14="","",Team1!G14)</f>
        <v>Lewis Hawe</v>
      </c>
      <c r="E86" s="347"/>
      <c r="F86" s="230">
        <v>26.82</v>
      </c>
      <c r="G86" s="231">
        <v>4</v>
      </c>
      <c r="H86" s="234">
        <f t="shared" si="11"/>
        <v>3</v>
      </c>
      <c r="I86" s="301"/>
      <c r="J86" s="301"/>
      <c r="K86" s="297">
        <f>IF(SUM(H86:H87)=0,"",SUM(H86:H87))</f>
        <v>8</v>
      </c>
      <c r="L86" s="90"/>
      <c r="N86" s="90" t="s">
        <v>159</v>
      </c>
      <c r="O86" s="90"/>
      <c r="P86" s="90"/>
      <c r="Q86" s="90">
        <f>(2+1)/2</f>
        <v>1.5</v>
      </c>
      <c r="R86" s="90" t="s">
        <v>155</v>
      </c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  <c r="HA86" s="90"/>
      <c r="HB86" s="90"/>
      <c r="HC86" s="90"/>
      <c r="HD86" s="90"/>
      <c r="HE86" s="90"/>
      <c r="HF86" s="90"/>
      <c r="HG86" s="90"/>
      <c r="HH86" s="90"/>
      <c r="HI86" s="90"/>
      <c r="HJ86" s="90"/>
      <c r="HK86" s="90"/>
      <c r="HL86" s="90"/>
      <c r="HM86" s="90"/>
      <c r="HN86" s="90"/>
      <c r="HO86" s="90"/>
      <c r="HP86" s="90"/>
      <c r="HQ86" s="90"/>
      <c r="HR86" s="90"/>
      <c r="HS86" s="90"/>
      <c r="HT86" s="90"/>
      <c r="HU86" s="90"/>
      <c r="HV86" s="90"/>
      <c r="HW86" s="90"/>
      <c r="HX86" s="90"/>
      <c r="HY86" s="90"/>
      <c r="HZ86" s="90"/>
      <c r="IA86" s="90"/>
      <c r="IB86" s="90"/>
      <c r="IC86" s="90"/>
      <c r="ID86" s="90"/>
      <c r="IE86" s="90"/>
      <c r="IF86" s="90"/>
      <c r="IG86" s="90"/>
      <c r="IH86" s="90"/>
      <c r="II86" s="90"/>
      <c r="IJ86" s="90"/>
      <c r="IK86" s="90"/>
      <c r="IL86" s="90"/>
      <c r="IM86" s="90"/>
      <c r="IN86" s="90"/>
      <c r="IO86" s="90"/>
      <c r="IP86" s="90"/>
      <c r="IQ86" s="90"/>
      <c r="IR86" s="90"/>
      <c r="IS86" s="90"/>
      <c r="IT86" s="90"/>
    </row>
    <row r="87" spans="1:254" ht="12" customHeight="1" thickBot="1" x14ac:dyDescent="0.25">
      <c r="A87" s="73"/>
      <c r="B87" s="304"/>
      <c r="C87" s="72">
        <v>5</v>
      </c>
      <c r="D87" s="299" t="str">
        <f>IF(Team1!H14="","",Team1!H14)</f>
        <v>Campbell Smyth</v>
      </c>
      <c r="E87" s="307"/>
      <c r="F87" s="228">
        <v>22.6</v>
      </c>
      <c r="G87" s="229">
        <v>2</v>
      </c>
      <c r="H87" s="233">
        <f t="shared" si="11"/>
        <v>5</v>
      </c>
      <c r="I87" s="302"/>
      <c r="J87" s="302"/>
      <c r="K87" s="298"/>
      <c r="L87" s="90"/>
      <c r="N87" s="90" t="s">
        <v>158</v>
      </c>
      <c r="O87" s="90"/>
      <c r="P87" s="90"/>
      <c r="Q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  <c r="HA87" s="90"/>
      <c r="HB87" s="90"/>
      <c r="HC87" s="90"/>
      <c r="HD87" s="90"/>
      <c r="HE87" s="90"/>
      <c r="HF87" s="90"/>
      <c r="HG87" s="90"/>
      <c r="HH87" s="90"/>
      <c r="HI87" s="90"/>
      <c r="HJ87" s="90"/>
      <c r="HK87" s="90"/>
      <c r="HL87" s="90"/>
      <c r="HM87" s="90"/>
      <c r="HN87" s="90"/>
      <c r="HO87" s="90"/>
      <c r="HP87" s="90"/>
      <c r="HQ87" s="90"/>
      <c r="HR87" s="90"/>
      <c r="HS87" s="90"/>
      <c r="HT87" s="90"/>
      <c r="HU87" s="90"/>
      <c r="HV87" s="90"/>
      <c r="HW87" s="90"/>
      <c r="HX87" s="90"/>
      <c r="HY87" s="90"/>
      <c r="HZ87" s="90"/>
      <c r="IA87" s="90"/>
      <c r="IB87" s="90"/>
      <c r="IC87" s="90"/>
      <c r="ID87" s="90"/>
      <c r="IE87" s="90"/>
      <c r="IF87" s="90"/>
      <c r="IG87" s="90"/>
      <c r="IH87" s="90"/>
      <c r="II87" s="90"/>
      <c r="IJ87" s="90"/>
      <c r="IK87" s="90"/>
      <c r="IL87" s="90"/>
      <c r="IM87" s="90"/>
      <c r="IN87" s="90"/>
      <c r="IO87" s="90"/>
      <c r="IP87" s="90"/>
      <c r="IQ87" s="90"/>
      <c r="IR87" s="90"/>
      <c r="IS87" s="90"/>
      <c r="IT87" s="90"/>
    </row>
    <row r="88" spans="1:254" ht="12" customHeight="1" x14ac:dyDescent="0.2">
      <c r="A88" s="69"/>
      <c r="B88" s="303" t="str">
        <f>Team2!$C$4</f>
        <v>Lisburn</v>
      </c>
      <c r="C88" s="70">
        <v>4</v>
      </c>
      <c r="D88" s="338" t="str">
        <f>IF(Team2!C15="","",Team2!C15)</f>
        <v xml:space="preserve">Amelia Hughes </v>
      </c>
      <c r="E88" s="339"/>
      <c r="F88" s="226">
        <v>20.41</v>
      </c>
      <c r="G88" s="227">
        <v>3</v>
      </c>
      <c r="H88" s="232">
        <f>IF(G88="","",IF(G88=6,1,IF(G88=5,2,IF(G88=4,3,IF(G88=3,4,IF(G88=2,5,6))))))</f>
        <v>4</v>
      </c>
      <c r="I88" s="297">
        <f>IF(SUM(H88:H89)=0,"",SUM(H88:H89))</f>
        <v>10</v>
      </c>
      <c r="J88" s="301"/>
      <c r="K88" s="301"/>
      <c r="N88" s="90"/>
      <c r="O88" s="90"/>
      <c r="P88" s="90"/>
      <c r="Q88" s="90"/>
      <c r="R88" s="90"/>
      <c r="S88" s="90"/>
    </row>
    <row r="89" spans="1:254" ht="12" customHeight="1" thickBot="1" x14ac:dyDescent="0.25">
      <c r="A89" s="71">
        <v>7</v>
      </c>
      <c r="B89" s="304"/>
      <c r="C89" s="72">
        <v>1</v>
      </c>
      <c r="D89" s="299" t="str">
        <f>IF(Team2!D15="","",Team2!D15)</f>
        <v>Zara Hopkins</v>
      </c>
      <c r="E89" s="307"/>
      <c r="F89" s="228">
        <v>19.82</v>
      </c>
      <c r="G89" s="229">
        <v>1</v>
      </c>
      <c r="H89" s="233">
        <f t="shared" ref="H89:H93" si="12">IF(G89="","",IF(G89=6,1,IF(G89=5,2,IF(G89=4,3,IF(G89=3,4,IF(G89=2,5,6))))))</f>
        <v>6</v>
      </c>
      <c r="I89" s="298"/>
      <c r="J89" s="302"/>
      <c r="K89" s="302"/>
      <c r="N89" s="90" t="s">
        <v>160</v>
      </c>
      <c r="O89" s="90"/>
      <c r="P89" s="90"/>
      <c r="Q89" s="90"/>
      <c r="R89" s="90"/>
      <c r="S89" s="90"/>
    </row>
    <row r="90" spans="1:254" ht="12.95" customHeight="1" x14ac:dyDescent="0.2">
      <c r="A90" s="71" t="s">
        <v>26</v>
      </c>
      <c r="B90" s="305" t="str">
        <f>Team3!$C$4</f>
        <v>Limavady</v>
      </c>
      <c r="C90" s="72">
        <v>3</v>
      </c>
      <c r="D90" s="299" t="str">
        <f>IF(Team3!C15="","",Team3!C15)</f>
        <v>Alice Caldwell</v>
      </c>
      <c r="E90" s="307"/>
      <c r="F90" s="228">
        <v>21.16</v>
      </c>
      <c r="G90" s="229">
        <v>4</v>
      </c>
      <c r="H90" s="233">
        <f t="shared" si="12"/>
        <v>3</v>
      </c>
      <c r="I90" s="301"/>
      <c r="J90" s="297">
        <f>IF(SUM(H90:H91)=0,"",SUM(H90:H91))</f>
        <v>5</v>
      </c>
      <c r="K90" s="301"/>
      <c r="L90" s="90"/>
      <c r="N90" s="40" t="s">
        <v>161</v>
      </c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  <c r="HA90" s="90"/>
      <c r="HB90" s="90"/>
      <c r="HC90" s="90"/>
      <c r="HD90" s="90"/>
      <c r="HE90" s="90"/>
      <c r="HF90" s="90"/>
      <c r="HG90" s="90"/>
      <c r="HH90" s="90"/>
      <c r="HI90" s="90"/>
      <c r="HJ90" s="90"/>
      <c r="HK90" s="90"/>
      <c r="HL90" s="90"/>
      <c r="HM90" s="90"/>
      <c r="HN90" s="90"/>
      <c r="HO90" s="90"/>
      <c r="HP90" s="90"/>
      <c r="HQ90" s="90"/>
      <c r="HR90" s="90"/>
      <c r="HS90" s="90"/>
      <c r="HT90" s="90"/>
      <c r="HU90" s="90"/>
      <c r="HV90" s="90"/>
      <c r="HW90" s="90"/>
      <c r="HX90" s="90"/>
      <c r="HY90" s="90"/>
      <c r="HZ90" s="90"/>
      <c r="IA90" s="90"/>
      <c r="IB90" s="90"/>
      <c r="IC90" s="90"/>
      <c r="ID90" s="90"/>
      <c r="IE90" s="90"/>
      <c r="IF90" s="90"/>
      <c r="IG90" s="90"/>
      <c r="IH90" s="90"/>
      <c r="II90" s="90"/>
      <c r="IJ90" s="90"/>
      <c r="IK90" s="90"/>
      <c r="IL90" s="90"/>
      <c r="IM90" s="90"/>
      <c r="IN90" s="90"/>
      <c r="IO90" s="90"/>
      <c r="IP90" s="90"/>
      <c r="IQ90" s="90"/>
      <c r="IR90" s="90"/>
      <c r="IS90" s="90"/>
      <c r="IT90" s="90"/>
    </row>
    <row r="91" spans="1:254" ht="12.95" customHeight="1" thickBot="1" x14ac:dyDescent="0.25">
      <c r="A91" s="71" t="s">
        <v>31</v>
      </c>
      <c r="B91" s="306"/>
      <c r="C91" s="72">
        <v>6</v>
      </c>
      <c r="D91" s="299" t="str">
        <f>IF(Team3!D15="","",Team3!D15)</f>
        <v>Emma Gallagher</v>
      </c>
      <c r="E91" s="307"/>
      <c r="F91" s="228">
        <v>22.33</v>
      </c>
      <c r="G91" s="229">
        <v>5</v>
      </c>
      <c r="H91" s="233">
        <f t="shared" si="12"/>
        <v>2</v>
      </c>
      <c r="I91" s="302"/>
      <c r="J91" s="298"/>
      <c r="K91" s="302"/>
      <c r="L91" s="90"/>
      <c r="N91" s="90" t="s">
        <v>162</v>
      </c>
      <c r="O91" s="90"/>
      <c r="P91" s="90"/>
      <c r="Q91" s="90">
        <f>(6+5+4)/3</f>
        <v>5</v>
      </c>
      <c r="R91" s="90" t="s">
        <v>155</v>
      </c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  <c r="HA91" s="90"/>
      <c r="HB91" s="90"/>
      <c r="HC91" s="90"/>
      <c r="HD91" s="90"/>
      <c r="HE91" s="90"/>
      <c r="HF91" s="90"/>
      <c r="HG91" s="90"/>
      <c r="HH91" s="90"/>
      <c r="HI91" s="90"/>
      <c r="HJ91" s="90"/>
      <c r="HK91" s="90"/>
      <c r="HL91" s="90"/>
      <c r="HM91" s="90"/>
      <c r="HN91" s="90"/>
      <c r="HO91" s="90"/>
      <c r="HP91" s="90"/>
      <c r="HQ91" s="90"/>
      <c r="HR91" s="90"/>
      <c r="HS91" s="90"/>
      <c r="HT91" s="90"/>
      <c r="HU91" s="90"/>
      <c r="HV91" s="90"/>
      <c r="HW91" s="90"/>
      <c r="HX91" s="90"/>
      <c r="HY91" s="90"/>
      <c r="HZ91" s="90"/>
      <c r="IA91" s="90"/>
      <c r="IB91" s="90"/>
      <c r="IC91" s="90"/>
      <c r="ID91" s="90"/>
      <c r="IE91" s="90"/>
      <c r="IF91" s="90"/>
      <c r="IG91" s="90"/>
      <c r="IH91" s="90"/>
      <c r="II91" s="90"/>
      <c r="IJ91" s="90"/>
      <c r="IK91" s="90"/>
      <c r="IL91" s="90"/>
      <c r="IM91" s="90"/>
      <c r="IN91" s="90"/>
      <c r="IO91" s="90"/>
      <c r="IP91" s="90"/>
      <c r="IQ91" s="90"/>
      <c r="IR91" s="90"/>
      <c r="IS91" s="90"/>
      <c r="IT91" s="90"/>
    </row>
    <row r="92" spans="1:254" ht="12" customHeight="1" x14ac:dyDescent="0.2">
      <c r="A92" s="71"/>
      <c r="B92" s="313" t="str">
        <f>Team1!$C$4</f>
        <v>Coleraine</v>
      </c>
      <c r="C92" s="174">
        <v>2</v>
      </c>
      <c r="D92" s="299" t="str">
        <f>IF(Team1!C15="","",Team1!C15)</f>
        <v>Olivia Higgins</v>
      </c>
      <c r="E92" s="307"/>
      <c r="F92" s="228">
        <v>21.81</v>
      </c>
      <c r="G92" s="229">
        <v>6</v>
      </c>
      <c r="H92" s="233">
        <f t="shared" si="12"/>
        <v>1</v>
      </c>
      <c r="I92" s="301"/>
      <c r="J92" s="301"/>
      <c r="K92" s="297">
        <f>IF(SUM(H92:H93)=0,"",SUM(H92:H93))</f>
        <v>6</v>
      </c>
      <c r="N92" s="90" t="s">
        <v>153</v>
      </c>
      <c r="O92" s="90"/>
      <c r="P92" s="90"/>
      <c r="Q92" s="90"/>
      <c r="R92" s="90"/>
      <c r="S92" s="90"/>
    </row>
    <row r="93" spans="1:254" ht="12" customHeight="1" thickBot="1" x14ac:dyDescent="0.25">
      <c r="A93" s="73"/>
      <c r="B93" s="304"/>
      <c r="C93" s="72">
        <v>5</v>
      </c>
      <c r="D93" s="299" t="str">
        <f>IF(Team1!D15="","",Team1!D15)</f>
        <v>Erin Isley</v>
      </c>
      <c r="E93" s="300"/>
      <c r="F93" s="228">
        <v>20.079999999999998</v>
      </c>
      <c r="G93" s="229">
        <v>2</v>
      </c>
      <c r="H93" s="233">
        <f t="shared" si="12"/>
        <v>5</v>
      </c>
      <c r="I93" s="302"/>
      <c r="J93" s="302"/>
      <c r="K93" s="298"/>
      <c r="N93" s="90" t="s">
        <v>163</v>
      </c>
      <c r="O93" s="90"/>
      <c r="P93" s="90"/>
      <c r="Q93" s="90">
        <f>(5+4+3)/3</f>
        <v>4</v>
      </c>
      <c r="R93" s="90" t="s">
        <v>155</v>
      </c>
      <c r="S93" s="90"/>
    </row>
    <row r="94" spans="1:254" ht="12" customHeight="1" x14ac:dyDescent="0.2">
      <c r="A94" s="69"/>
      <c r="B94" s="303" t="str">
        <f>Team2!$C$4</f>
        <v>Lisburn</v>
      </c>
      <c r="C94" s="70">
        <v>4</v>
      </c>
      <c r="D94" s="338" t="str">
        <f>IF(Team2!G15="","",Team2!G15)</f>
        <v>Luke Coleman</v>
      </c>
      <c r="E94" s="339"/>
      <c r="F94" s="226">
        <v>21.66</v>
      </c>
      <c r="G94" s="227">
        <v>4</v>
      </c>
      <c r="H94" s="232">
        <f>IF(G94="","",IF(G94=6,1,IF(G94=5,2,IF(G94=4,3,IF(G94=3,4,IF(G94=2,5,6))))))</f>
        <v>3</v>
      </c>
      <c r="I94" s="297">
        <f>IF(SUM(H94:H95)=0,"",SUM(H94:H95))</f>
        <v>4</v>
      </c>
      <c r="J94" s="301"/>
      <c r="K94" s="301"/>
      <c r="N94" s="90" t="s">
        <v>154</v>
      </c>
      <c r="O94" s="90"/>
      <c r="P94" s="90"/>
      <c r="Q94" s="90"/>
      <c r="R94" s="90"/>
    </row>
    <row r="95" spans="1:254" ht="12" customHeight="1" thickBot="1" x14ac:dyDescent="0.25">
      <c r="A95" s="71">
        <v>8</v>
      </c>
      <c r="B95" s="304"/>
      <c r="C95" s="72">
        <v>1</v>
      </c>
      <c r="D95" s="299" t="str">
        <f>IF(Team2!H15="","",Team2!H15)</f>
        <v xml:space="preserve">Rory Stanley </v>
      </c>
      <c r="E95" s="307"/>
      <c r="F95" s="228">
        <v>22.96</v>
      </c>
      <c r="G95" s="229">
        <v>6</v>
      </c>
      <c r="H95" s="233">
        <f t="shared" ref="H95:H99" si="13">IF(G95="","",IF(G95=6,1,IF(G95=5,2,IF(G95=4,3,IF(G95=3,4,IF(G95=2,5,6))))))</f>
        <v>1</v>
      </c>
      <c r="I95" s="298"/>
      <c r="J95" s="302"/>
      <c r="K95" s="302"/>
      <c r="N95" s="90" t="s">
        <v>164</v>
      </c>
      <c r="O95" s="90"/>
      <c r="P95" s="90"/>
      <c r="Q95" s="90">
        <f>(4+3+2)/3</f>
        <v>3</v>
      </c>
      <c r="R95" s="90" t="s">
        <v>155</v>
      </c>
    </row>
    <row r="96" spans="1:254" ht="12.75" customHeight="1" x14ac:dyDescent="0.2">
      <c r="A96" s="71" t="s">
        <v>26</v>
      </c>
      <c r="B96" s="305" t="str">
        <f>Team3!$C$4</f>
        <v>Limavady</v>
      </c>
      <c r="C96" s="72">
        <v>3</v>
      </c>
      <c r="D96" s="299" t="str">
        <f>IF(Team3!G15="","",Team3!G15)</f>
        <v>Sam Staats Howard</v>
      </c>
      <c r="E96" s="307"/>
      <c r="F96" s="228">
        <v>19.920000000000002</v>
      </c>
      <c r="G96" s="229">
        <v>1</v>
      </c>
      <c r="H96" s="233">
        <f t="shared" si="13"/>
        <v>6</v>
      </c>
      <c r="I96" s="301"/>
      <c r="J96" s="297">
        <f>IF(SUM(H96:H97)=0,"",SUM(H96:H97))</f>
        <v>11</v>
      </c>
      <c r="K96" s="301"/>
      <c r="L96" s="90"/>
      <c r="N96" s="90" t="s">
        <v>157</v>
      </c>
      <c r="O96" s="90"/>
      <c r="P96" s="90"/>
      <c r="Q96" s="90"/>
      <c r="R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  <c r="HA96" s="90"/>
      <c r="HB96" s="90"/>
      <c r="HC96" s="90"/>
      <c r="HD96" s="90"/>
      <c r="HE96" s="90"/>
      <c r="HF96" s="90"/>
      <c r="HG96" s="90"/>
      <c r="HH96" s="90"/>
      <c r="HI96" s="90"/>
      <c r="HJ96" s="90"/>
      <c r="HK96" s="90"/>
      <c r="HL96" s="90"/>
      <c r="HM96" s="90"/>
      <c r="HN96" s="90"/>
      <c r="HO96" s="90"/>
      <c r="HP96" s="90"/>
      <c r="HQ96" s="90"/>
      <c r="HR96" s="90"/>
      <c r="HS96" s="90"/>
      <c r="HT96" s="90"/>
      <c r="HU96" s="90"/>
      <c r="HV96" s="90"/>
      <c r="HW96" s="90"/>
      <c r="HX96" s="90"/>
      <c r="HY96" s="90"/>
      <c r="HZ96" s="90"/>
      <c r="IA96" s="90"/>
      <c r="IB96" s="90"/>
      <c r="IC96" s="90"/>
      <c r="ID96" s="90"/>
      <c r="IE96" s="90"/>
      <c r="IF96" s="90"/>
      <c r="IG96" s="90"/>
      <c r="IH96" s="90"/>
      <c r="II96" s="90"/>
      <c r="IJ96" s="90"/>
      <c r="IK96" s="90"/>
      <c r="IL96" s="90"/>
      <c r="IM96" s="90"/>
      <c r="IN96" s="90"/>
      <c r="IO96" s="90"/>
      <c r="IP96" s="90"/>
      <c r="IQ96" s="90"/>
      <c r="IR96" s="90"/>
      <c r="IS96" s="90"/>
      <c r="IT96" s="90"/>
    </row>
    <row r="97" spans="1:254" ht="12.75" customHeight="1" thickBot="1" x14ac:dyDescent="0.25">
      <c r="A97" s="71" t="s">
        <v>32</v>
      </c>
      <c r="B97" s="306"/>
      <c r="C97" s="72">
        <v>6</v>
      </c>
      <c r="D97" s="299" t="str">
        <f>IF(Team3!H15="","",Team3!H15)</f>
        <v>Kevin Mc Macken</v>
      </c>
      <c r="E97" s="307"/>
      <c r="F97" s="228">
        <v>20.91</v>
      </c>
      <c r="G97" s="229">
        <v>2</v>
      </c>
      <c r="H97" s="233">
        <f t="shared" si="13"/>
        <v>5</v>
      </c>
      <c r="I97" s="302"/>
      <c r="J97" s="298"/>
      <c r="K97" s="302"/>
      <c r="L97" s="90"/>
      <c r="N97" s="90" t="s">
        <v>165</v>
      </c>
      <c r="O97" s="90"/>
      <c r="P97" s="90"/>
      <c r="Q97" s="90">
        <f>(3+2+1)/3</f>
        <v>2</v>
      </c>
      <c r="R97" s="90" t="s">
        <v>155</v>
      </c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0"/>
      <c r="IL97" s="90"/>
      <c r="IM97" s="90"/>
      <c r="IN97" s="90"/>
      <c r="IO97" s="90"/>
      <c r="IP97" s="90"/>
      <c r="IQ97" s="90"/>
      <c r="IR97" s="90"/>
      <c r="IS97" s="90"/>
      <c r="IT97" s="90"/>
    </row>
    <row r="98" spans="1:254" ht="12" customHeight="1" x14ac:dyDescent="0.2">
      <c r="A98" s="71"/>
      <c r="B98" s="313" t="str">
        <f>Team1!$C$4</f>
        <v>Coleraine</v>
      </c>
      <c r="C98" s="174">
        <v>2</v>
      </c>
      <c r="D98" s="299" t="str">
        <f>IF(Team1!G15="","",Team1!G15)</f>
        <v>James Hegarty</v>
      </c>
      <c r="E98" s="307"/>
      <c r="F98" s="228">
        <v>22.91</v>
      </c>
      <c r="G98" s="229">
        <v>5</v>
      </c>
      <c r="H98" s="233">
        <f t="shared" si="13"/>
        <v>2</v>
      </c>
      <c r="I98" s="301"/>
      <c r="J98" s="301"/>
      <c r="K98" s="297">
        <f>IF(SUM(H98:H99)=0,"",SUM(H98:H99))</f>
        <v>6</v>
      </c>
      <c r="N98" s="90" t="s">
        <v>158</v>
      </c>
      <c r="O98" s="90"/>
      <c r="P98" s="90"/>
      <c r="Q98" s="90"/>
      <c r="R98" s="90"/>
      <c r="S98" s="90"/>
    </row>
    <row r="99" spans="1:254" ht="12" customHeight="1" thickBot="1" x14ac:dyDescent="0.25">
      <c r="A99" s="73"/>
      <c r="B99" s="304"/>
      <c r="C99" s="72">
        <v>5</v>
      </c>
      <c r="D99" s="299" t="str">
        <f>IF(Team1!H15="","",Team1!H15)</f>
        <v>Noah McClelland</v>
      </c>
      <c r="E99" s="307"/>
      <c r="F99" s="228">
        <v>21.42</v>
      </c>
      <c r="G99" s="229">
        <v>3</v>
      </c>
      <c r="H99" s="233">
        <f t="shared" si="13"/>
        <v>4</v>
      </c>
      <c r="I99" s="302"/>
      <c r="J99" s="302"/>
      <c r="K99" s="298"/>
    </row>
    <row r="100" spans="1:254" ht="12" customHeight="1" x14ac:dyDescent="0.2">
      <c r="A100" s="69"/>
      <c r="B100" s="303" t="str">
        <f>Team2!$C$4</f>
        <v>Lisburn</v>
      </c>
      <c r="C100" s="70">
        <v>4</v>
      </c>
      <c r="D100" s="338" t="str">
        <f>IF(Team2!C16="","",Team2!C16)</f>
        <v>Sinead McQuillan</v>
      </c>
      <c r="E100" s="339"/>
      <c r="F100" s="226">
        <v>20.3</v>
      </c>
      <c r="G100" s="227">
        <v>3</v>
      </c>
      <c r="H100" s="232">
        <f>IF(G100="","",IF(G100=6,1,IF(G100=5,2,IF(G100=4,3,IF(G100=3,4,IF(G100=2,5,6))))))</f>
        <v>4</v>
      </c>
      <c r="I100" s="297">
        <f>IF(SUM(H100:H101)=0,"",SUM(H100:H101))</f>
        <v>5</v>
      </c>
      <c r="J100" s="301"/>
      <c r="K100" s="301"/>
    </row>
    <row r="101" spans="1:254" ht="12" customHeight="1" thickBot="1" x14ac:dyDescent="0.25">
      <c r="A101" s="71">
        <v>9</v>
      </c>
      <c r="B101" s="304"/>
      <c r="C101" s="72">
        <v>1</v>
      </c>
      <c r="D101" s="348" t="str">
        <f>IF(Team2!D16="","",Team2!D16)</f>
        <v>Evie Lowry</v>
      </c>
      <c r="E101" s="307"/>
      <c r="F101" s="228">
        <v>21.66</v>
      </c>
      <c r="G101" s="229">
        <v>6</v>
      </c>
      <c r="H101" s="233">
        <f t="shared" ref="H101:H105" si="14">IF(G101="","",IF(G101=6,1,IF(G101=5,2,IF(G101=4,3,IF(G101=3,4,IF(G101=2,5,6))))))</f>
        <v>1</v>
      </c>
      <c r="I101" s="298"/>
      <c r="J101" s="302"/>
      <c r="K101" s="302"/>
    </row>
    <row r="102" spans="1:254" ht="12" customHeight="1" x14ac:dyDescent="0.2">
      <c r="A102" s="71" t="s">
        <v>27</v>
      </c>
      <c r="B102" s="305" t="str">
        <f>Team3!$C$4</f>
        <v>Limavady</v>
      </c>
      <c r="C102" s="72">
        <v>3</v>
      </c>
      <c r="D102" s="348" t="str">
        <f>IF(Team3!C16="","",Team3!C16)</f>
        <v>Anna Mc Gookin</v>
      </c>
      <c r="E102" s="307"/>
      <c r="F102" s="228">
        <v>19.75</v>
      </c>
      <c r="G102" s="229">
        <v>2</v>
      </c>
      <c r="H102" s="233">
        <f t="shared" si="14"/>
        <v>5</v>
      </c>
      <c r="I102" s="301"/>
      <c r="J102" s="297">
        <f>IF(SUM(H102:H103)=0,"",SUM(H102:H103))</f>
        <v>8</v>
      </c>
      <c r="K102" s="301"/>
    </row>
    <row r="103" spans="1:254" ht="12" customHeight="1" thickBot="1" x14ac:dyDescent="0.25">
      <c r="A103" s="71" t="s">
        <v>31</v>
      </c>
      <c r="B103" s="306"/>
      <c r="C103" s="72">
        <v>6</v>
      </c>
      <c r="D103" s="348" t="str">
        <f>IF(Team3!D16="","",Team3!D16)</f>
        <v>Amy Mc Gurk</v>
      </c>
      <c r="E103" s="307"/>
      <c r="F103" s="228">
        <v>20.49</v>
      </c>
      <c r="G103" s="229">
        <v>4</v>
      </c>
      <c r="H103" s="233">
        <f t="shared" si="14"/>
        <v>3</v>
      </c>
      <c r="I103" s="302"/>
      <c r="J103" s="298"/>
      <c r="K103" s="302"/>
    </row>
    <row r="104" spans="1:254" ht="12.95" customHeight="1" x14ac:dyDescent="0.2">
      <c r="A104" s="71"/>
      <c r="B104" s="313" t="str">
        <f>Team1!$C$4</f>
        <v>Coleraine</v>
      </c>
      <c r="C104" s="174">
        <v>2</v>
      </c>
      <c r="D104" s="299" t="str">
        <f>IF(Team1!C16="","",Team1!C16)</f>
        <v>Lily Jones</v>
      </c>
      <c r="E104" s="307" t="str">
        <f>IF(Team1!D19="","",Team1!D19)</f>
        <v>Eva Marran</v>
      </c>
      <c r="F104" s="228">
        <v>22.65</v>
      </c>
      <c r="G104" s="229">
        <v>5</v>
      </c>
      <c r="H104" s="233">
        <f t="shared" si="14"/>
        <v>2</v>
      </c>
      <c r="I104" s="301"/>
      <c r="J104" s="301"/>
      <c r="K104" s="297">
        <f>IF(SUM(H104:H105)=0,"",SUM(H104:H105))</f>
        <v>8</v>
      </c>
      <c r="L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  <c r="HA104" s="90"/>
      <c r="HB104" s="90"/>
      <c r="HC104" s="90"/>
      <c r="HD104" s="90"/>
      <c r="HE104" s="90"/>
      <c r="HF104" s="90"/>
      <c r="HG104" s="90"/>
      <c r="HH104" s="90"/>
      <c r="HI104" s="90"/>
      <c r="HJ104" s="90"/>
      <c r="HK104" s="90"/>
      <c r="HL104" s="90"/>
      <c r="HM104" s="90"/>
      <c r="HN104" s="90"/>
      <c r="HO104" s="90"/>
      <c r="HP104" s="90"/>
      <c r="HQ104" s="90"/>
      <c r="HR104" s="90"/>
      <c r="HS104" s="90"/>
      <c r="HT104" s="90"/>
      <c r="HU104" s="90"/>
      <c r="HV104" s="90"/>
      <c r="HW104" s="90"/>
      <c r="HX104" s="90"/>
      <c r="HY104" s="90"/>
      <c r="HZ104" s="90"/>
      <c r="IA104" s="90"/>
      <c r="IB104" s="90"/>
      <c r="IC104" s="90"/>
      <c r="ID104" s="90"/>
      <c r="IE104" s="90"/>
      <c r="IF104" s="90"/>
      <c r="IG104" s="90"/>
      <c r="IH104" s="90"/>
      <c r="II104" s="90"/>
      <c r="IJ104" s="90"/>
      <c r="IK104" s="90"/>
      <c r="IL104" s="90"/>
      <c r="IM104" s="90"/>
      <c r="IN104" s="90"/>
      <c r="IO104" s="90"/>
      <c r="IP104" s="90"/>
      <c r="IQ104" s="90"/>
      <c r="IR104" s="90"/>
      <c r="IS104" s="90"/>
      <c r="IT104" s="90"/>
    </row>
    <row r="105" spans="1:254" ht="12.95" customHeight="1" thickBot="1" x14ac:dyDescent="0.25">
      <c r="A105" s="73"/>
      <c r="B105" s="304"/>
      <c r="C105" s="72">
        <v>5</v>
      </c>
      <c r="D105" s="299" t="str">
        <f>IF(Team1!D16="","",Team1!D16)</f>
        <v>Riona Cassidy</v>
      </c>
      <c r="E105" s="307" t="e">
        <f>IF(Team1!#REF!="","",Team1!#REF!)</f>
        <v>#REF!</v>
      </c>
      <c r="F105" s="228">
        <v>18.739999999999998</v>
      </c>
      <c r="G105" s="229">
        <v>1</v>
      </c>
      <c r="H105" s="233">
        <f t="shared" si="14"/>
        <v>6</v>
      </c>
      <c r="I105" s="302"/>
      <c r="J105" s="302"/>
      <c r="K105" s="298"/>
      <c r="L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  <c r="HA105" s="90"/>
      <c r="HB105" s="90"/>
      <c r="HC105" s="90"/>
      <c r="HD105" s="90"/>
      <c r="HE105" s="90"/>
      <c r="HF105" s="90"/>
      <c r="HG105" s="90"/>
      <c r="HH105" s="90"/>
      <c r="HI105" s="90"/>
      <c r="HJ105" s="90"/>
      <c r="HK105" s="90"/>
      <c r="HL105" s="90"/>
      <c r="HM105" s="90"/>
      <c r="HN105" s="90"/>
      <c r="HO105" s="90"/>
      <c r="HP105" s="90"/>
      <c r="HQ105" s="90"/>
      <c r="HR105" s="90"/>
      <c r="HS105" s="90"/>
      <c r="HT105" s="90"/>
      <c r="HU105" s="90"/>
      <c r="HV105" s="90"/>
      <c r="HW105" s="90"/>
      <c r="HX105" s="90"/>
      <c r="HY105" s="90"/>
      <c r="HZ105" s="90"/>
      <c r="IA105" s="90"/>
      <c r="IB105" s="90"/>
      <c r="IC105" s="90"/>
      <c r="ID105" s="90"/>
      <c r="IE105" s="90"/>
      <c r="IF105" s="90"/>
      <c r="IG105" s="90"/>
      <c r="IH105" s="90"/>
      <c r="II105" s="90"/>
      <c r="IJ105" s="90"/>
      <c r="IK105" s="90"/>
      <c r="IL105" s="90"/>
      <c r="IM105" s="90"/>
      <c r="IN105" s="90"/>
      <c r="IO105" s="90"/>
      <c r="IP105" s="90"/>
      <c r="IQ105" s="90"/>
      <c r="IR105" s="90"/>
      <c r="IS105" s="90"/>
      <c r="IT105" s="90"/>
    </row>
    <row r="106" spans="1:254" ht="12" customHeight="1" x14ac:dyDescent="0.2">
      <c r="A106" s="69"/>
      <c r="B106" s="303" t="str">
        <f>Team2!$C$4</f>
        <v>Lisburn</v>
      </c>
      <c r="C106" s="70">
        <v>4</v>
      </c>
      <c r="D106" s="338" t="str">
        <f>IF(Team2!G16="","",Team2!G16)</f>
        <v>Benjamin Bickerstaffe</v>
      </c>
      <c r="E106" s="339"/>
      <c r="F106" s="226">
        <v>17</v>
      </c>
      <c r="G106" s="227">
        <v>1</v>
      </c>
      <c r="H106" s="232">
        <f>IF(G106="","",IF(G106=6,1,IF(G106=5,2,IF(G106=4,3,IF(G106=3,4,IF(G106=2,5,6))))))</f>
        <v>6</v>
      </c>
      <c r="I106" s="297">
        <f>IF(SUM(H106:H107)=0,"",SUM(H106:H107))</f>
        <v>8</v>
      </c>
      <c r="J106" s="301"/>
      <c r="K106" s="301"/>
    </row>
    <row r="107" spans="1:254" ht="12" customHeight="1" thickBot="1" x14ac:dyDescent="0.25">
      <c r="A107" s="71">
        <v>10</v>
      </c>
      <c r="B107" s="304"/>
      <c r="C107" s="72">
        <v>1</v>
      </c>
      <c r="D107" s="299" t="str">
        <f>IF(Team2!H16="","",Team2!H16)</f>
        <v>Cillan Hall</v>
      </c>
      <c r="E107" s="307"/>
      <c r="F107" s="228">
        <v>20.5</v>
      </c>
      <c r="G107" s="229">
        <v>5</v>
      </c>
      <c r="H107" s="233">
        <f t="shared" ref="H107:H111" si="15">IF(G107="","",IF(G107=6,1,IF(G107=5,2,IF(G107=4,3,IF(G107=3,4,IF(G107=2,5,6))))))</f>
        <v>2</v>
      </c>
      <c r="I107" s="298"/>
      <c r="J107" s="302"/>
      <c r="K107" s="302"/>
    </row>
    <row r="108" spans="1:254" ht="12.95" customHeight="1" x14ac:dyDescent="0.2">
      <c r="A108" s="71" t="s">
        <v>27</v>
      </c>
      <c r="B108" s="305" t="str">
        <f>Team3!$C$4</f>
        <v>Limavady</v>
      </c>
      <c r="C108" s="72">
        <v>3</v>
      </c>
      <c r="D108" s="348" t="str">
        <f>IF(Team3!G16="","",Team3!G16)</f>
        <v>Cailean Gallagher</v>
      </c>
      <c r="E108" s="349"/>
      <c r="F108" s="228">
        <v>18.78</v>
      </c>
      <c r="G108" s="229">
        <v>4</v>
      </c>
      <c r="H108" s="233">
        <f t="shared" si="15"/>
        <v>3</v>
      </c>
      <c r="I108" s="301"/>
      <c r="J108" s="297">
        <f>IF(SUM(H108:H109)=0,"",SUM(H108:H109))</f>
        <v>4</v>
      </c>
      <c r="K108" s="301"/>
      <c r="L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  <c r="HA108" s="90"/>
      <c r="HB108" s="90"/>
      <c r="HC108" s="90"/>
      <c r="HD108" s="90"/>
      <c r="HE108" s="90"/>
      <c r="HF108" s="90"/>
      <c r="HG108" s="90"/>
      <c r="HH108" s="90"/>
      <c r="HI108" s="90"/>
      <c r="HJ108" s="90"/>
      <c r="HK108" s="90"/>
      <c r="HL108" s="90"/>
      <c r="HM108" s="90"/>
      <c r="HN108" s="90"/>
      <c r="HO108" s="90"/>
      <c r="HP108" s="90"/>
      <c r="HQ108" s="90"/>
      <c r="HR108" s="90"/>
      <c r="HS108" s="90"/>
      <c r="HT108" s="90"/>
      <c r="HU108" s="90"/>
      <c r="HV108" s="90"/>
      <c r="HW108" s="90"/>
      <c r="HX108" s="90"/>
      <c r="HY108" s="90"/>
      <c r="HZ108" s="90"/>
      <c r="IA108" s="90"/>
      <c r="IB108" s="90"/>
      <c r="IC108" s="90"/>
      <c r="ID108" s="90"/>
      <c r="IE108" s="90"/>
      <c r="IF108" s="90"/>
      <c r="IG108" s="90"/>
      <c r="IH108" s="90"/>
      <c r="II108" s="90"/>
      <c r="IJ108" s="90"/>
      <c r="IK108" s="90"/>
      <c r="IL108" s="90"/>
      <c r="IM108" s="90"/>
      <c r="IN108" s="90"/>
      <c r="IO108" s="90"/>
      <c r="IP108" s="90"/>
      <c r="IQ108" s="90"/>
      <c r="IR108" s="90"/>
      <c r="IS108" s="90"/>
      <c r="IT108" s="90"/>
    </row>
    <row r="109" spans="1:254" ht="12.95" customHeight="1" thickBot="1" x14ac:dyDescent="0.25">
      <c r="A109" s="71" t="s">
        <v>32</v>
      </c>
      <c r="B109" s="306"/>
      <c r="C109" s="72">
        <v>6</v>
      </c>
      <c r="D109" s="348" t="str">
        <f>IF(Team3!H16="","",Team3!H16)</f>
        <v>Oliver Smith</v>
      </c>
      <c r="E109" s="349"/>
      <c r="F109" s="228">
        <v>20.79</v>
      </c>
      <c r="G109" s="229">
        <v>6</v>
      </c>
      <c r="H109" s="233">
        <f t="shared" si="15"/>
        <v>1</v>
      </c>
      <c r="I109" s="302"/>
      <c r="J109" s="298"/>
      <c r="K109" s="302"/>
      <c r="L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  <c r="HA109" s="90"/>
      <c r="HB109" s="90"/>
      <c r="HC109" s="90"/>
      <c r="HD109" s="90"/>
      <c r="HE109" s="90"/>
      <c r="HF109" s="90"/>
      <c r="HG109" s="90"/>
      <c r="HH109" s="90"/>
      <c r="HI109" s="90"/>
      <c r="HJ109" s="90"/>
      <c r="HK109" s="90"/>
      <c r="HL109" s="90"/>
      <c r="HM109" s="90"/>
      <c r="HN109" s="90"/>
      <c r="HO109" s="90"/>
      <c r="HP109" s="90"/>
      <c r="HQ109" s="90"/>
      <c r="HR109" s="90"/>
      <c r="HS109" s="90"/>
      <c r="HT109" s="90"/>
      <c r="HU109" s="90"/>
      <c r="HV109" s="90"/>
      <c r="HW109" s="90"/>
      <c r="HX109" s="90"/>
      <c r="HY109" s="90"/>
      <c r="HZ109" s="90"/>
      <c r="IA109" s="90"/>
      <c r="IB109" s="90"/>
      <c r="IC109" s="90"/>
      <c r="ID109" s="90"/>
      <c r="IE109" s="90"/>
      <c r="IF109" s="90"/>
      <c r="IG109" s="90"/>
      <c r="IH109" s="90"/>
      <c r="II109" s="90"/>
      <c r="IJ109" s="90"/>
      <c r="IK109" s="90"/>
      <c r="IL109" s="90"/>
      <c r="IM109" s="90"/>
      <c r="IN109" s="90"/>
      <c r="IO109" s="90"/>
      <c r="IP109" s="90"/>
      <c r="IQ109" s="90"/>
      <c r="IR109" s="90"/>
      <c r="IS109" s="90"/>
      <c r="IT109" s="90"/>
    </row>
    <row r="110" spans="1:254" ht="12" customHeight="1" x14ac:dyDescent="0.2">
      <c r="A110" s="196"/>
      <c r="B110" s="313" t="str">
        <f>Team1!$C$4</f>
        <v>Coleraine</v>
      </c>
      <c r="C110" s="174">
        <v>2</v>
      </c>
      <c r="D110" s="348" t="str">
        <f>IF(Team1!G16="","",Team1!G16)</f>
        <v>Kioni Little</v>
      </c>
      <c r="E110" s="349"/>
      <c r="F110" s="228">
        <v>17.559999999999999</v>
      </c>
      <c r="G110" s="229">
        <v>2</v>
      </c>
      <c r="H110" s="233">
        <f t="shared" si="15"/>
        <v>5</v>
      </c>
      <c r="I110" s="301"/>
      <c r="J110" s="301"/>
      <c r="K110" s="297">
        <f>IF(SUM(H110:H111)=0,"",SUM(H110:H111))</f>
        <v>9</v>
      </c>
    </row>
    <row r="111" spans="1:254" ht="12" customHeight="1" thickBot="1" x14ac:dyDescent="0.25">
      <c r="A111" s="73"/>
      <c r="B111" s="304"/>
      <c r="C111" s="72">
        <v>5</v>
      </c>
      <c r="D111" s="348" t="str">
        <f>IF(Team1!H16="","",Team1!H16)</f>
        <v>Daniel Eakin</v>
      </c>
      <c r="E111" s="349"/>
      <c r="F111" s="228">
        <v>18.54</v>
      </c>
      <c r="G111" s="229">
        <v>3</v>
      </c>
      <c r="H111" s="233">
        <f t="shared" si="15"/>
        <v>4</v>
      </c>
      <c r="I111" s="302"/>
      <c r="J111" s="302"/>
      <c r="K111" s="298"/>
    </row>
    <row r="112" spans="1:254" ht="12" customHeight="1" x14ac:dyDescent="0.2">
      <c r="A112" s="69"/>
      <c r="B112" s="303" t="str">
        <f>Team2!$C$4</f>
        <v>Lisburn</v>
      </c>
      <c r="C112" s="70">
        <v>4</v>
      </c>
      <c r="D112" s="338" t="str">
        <f>IF(Team2!C17="","",Team2!C17)</f>
        <v>Emily Coleman</v>
      </c>
      <c r="E112" s="339"/>
      <c r="F112" s="226">
        <v>18</v>
      </c>
      <c r="G112" s="227">
        <v>1</v>
      </c>
      <c r="H112" s="232">
        <f>IF(G112="","",IF(G112=6,1,IF(G112=5,2,IF(G112=4,3,IF(G112=3,4,IF(G112=2,5,6))))))</f>
        <v>6</v>
      </c>
      <c r="I112" s="297">
        <f>IF(SUM(H112:H113)=0,"",SUM(H112:H113))</f>
        <v>7</v>
      </c>
      <c r="J112" s="301"/>
      <c r="K112" s="301"/>
    </row>
    <row r="113" spans="1:254" ht="12" customHeight="1" thickBot="1" x14ac:dyDescent="0.25">
      <c r="A113" s="71">
        <v>11</v>
      </c>
      <c r="B113" s="304"/>
      <c r="C113" s="72">
        <v>1</v>
      </c>
      <c r="D113" s="299" t="str">
        <f>IF(Team2!D17="","",Team2!D17)</f>
        <v xml:space="preserve">Niamh Hughes </v>
      </c>
      <c r="E113" s="307"/>
      <c r="F113" s="228">
        <v>18.850000000000001</v>
      </c>
      <c r="G113" s="229">
        <v>6</v>
      </c>
      <c r="H113" s="233">
        <f t="shared" ref="H113:H117" si="16">IF(G113="","",IF(G113=6,1,IF(G113=5,2,IF(G113=4,3,IF(G113=3,4,IF(G113=2,5,6))))))</f>
        <v>1</v>
      </c>
      <c r="I113" s="298"/>
      <c r="J113" s="302"/>
      <c r="K113" s="302"/>
    </row>
    <row r="114" spans="1:254" ht="12.95" customHeight="1" x14ac:dyDescent="0.2">
      <c r="A114" s="71" t="s">
        <v>28</v>
      </c>
      <c r="B114" s="305" t="str">
        <f>Team3!$C$4</f>
        <v>Limavady</v>
      </c>
      <c r="C114" s="72">
        <v>3</v>
      </c>
      <c r="D114" s="299" t="str">
        <f>IF(Team3!C17="","",Team3!C17)</f>
        <v>Erin Callaghan</v>
      </c>
      <c r="E114" s="307"/>
      <c r="F114" s="228">
        <v>18.690000000000001</v>
      </c>
      <c r="G114" s="229">
        <v>5</v>
      </c>
      <c r="H114" s="233">
        <f t="shared" si="16"/>
        <v>2</v>
      </c>
      <c r="I114" s="301"/>
      <c r="J114" s="297">
        <f>IF(SUM(H114:H115)=0,"",SUM(H114:H115))</f>
        <v>5</v>
      </c>
      <c r="K114" s="301"/>
      <c r="L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  <c r="HA114" s="90"/>
      <c r="HB114" s="90"/>
      <c r="HC114" s="90"/>
      <c r="HD114" s="90"/>
      <c r="HE114" s="90"/>
      <c r="HF114" s="90"/>
      <c r="HG114" s="90"/>
      <c r="HH114" s="90"/>
      <c r="HI114" s="90"/>
      <c r="HJ114" s="90"/>
      <c r="HK114" s="90"/>
      <c r="HL114" s="90"/>
      <c r="HM114" s="90"/>
      <c r="HN114" s="90"/>
      <c r="HO114" s="90"/>
      <c r="HP114" s="90"/>
      <c r="HQ114" s="90"/>
      <c r="HR114" s="90"/>
      <c r="HS114" s="90"/>
      <c r="HT114" s="90"/>
      <c r="HU114" s="90"/>
      <c r="HV114" s="90"/>
      <c r="HW114" s="90"/>
      <c r="HX114" s="90"/>
      <c r="HY114" s="90"/>
      <c r="HZ114" s="90"/>
      <c r="IA114" s="90"/>
      <c r="IB114" s="90"/>
      <c r="IC114" s="90"/>
      <c r="ID114" s="90"/>
      <c r="IE114" s="90"/>
      <c r="IF114" s="90"/>
      <c r="IG114" s="90"/>
      <c r="IH114" s="90"/>
      <c r="II114" s="90"/>
      <c r="IJ114" s="90"/>
      <c r="IK114" s="90"/>
      <c r="IL114" s="90"/>
      <c r="IM114" s="90"/>
      <c r="IN114" s="90"/>
      <c r="IO114" s="90"/>
      <c r="IP114" s="90"/>
      <c r="IQ114" s="90"/>
      <c r="IR114" s="90"/>
      <c r="IS114" s="90"/>
      <c r="IT114" s="90"/>
    </row>
    <row r="115" spans="1:254" ht="12.95" customHeight="1" thickBot="1" x14ac:dyDescent="0.25">
      <c r="A115" s="71" t="s">
        <v>31</v>
      </c>
      <c r="B115" s="306"/>
      <c r="C115" s="72">
        <v>6</v>
      </c>
      <c r="D115" s="299" t="str">
        <f>IF(Team3!D17="","",Team3!D17)</f>
        <v>Emily Butcher</v>
      </c>
      <c r="E115" s="307"/>
      <c r="F115" s="228">
        <v>18.47</v>
      </c>
      <c r="G115" s="229">
        <v>4</v>
      </c>
      <c r="H115" s="233">
        <f t="shared" si="16"/>
        <v>3</v>
      </c>
      <c r="I115" s="302"/>
      <c r="J115" s="298"/>
      <c r="K115" s="302"/>
      <c r="L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  <c r="HA115" s="90"/>
      <c r="HB115" s="90"/>
      <c r="HC115" s="90"/>
      <c r="HD115" s="90"/>
      <c r="HE115" s="90"/>
      <c r="HF115" s="90"/>
      <c r="HG115" s="90"/>
      <c r="HH115" s="90"/>
      <c r="HI115" s="90"/>
      <c r="HJ115" s="90"/>
      <c r="HK115" s="90"/>
      <c r="HL115" s="90"/>
      <c r="HM115" s="90"/>
      <c r="HN115" s="90"/>
      <c r="HO115" s="90"/>
      <c r="HP115" s="90"/>
      <c r="HQ115" s="90"/>
      <c r="HR115" s="90"/>
      <c r="HS115" s="90"/>
      <c r="HT115" s="90"/>
      <c r="HU115" s="90"/>
      <c r="HV115" s="90"/>
      <c r="HW115" s="90"/>
      <c r="HX115" s="90"/>
      <c r="HY115" s="90"/>
      <c r="HZ115" s="90"/>
      <c r="IA115" s="90"/>
      <c r="IB115" s="90"/>
      <c r="IC115" s="90"/>
      <c r="ID115" s="90"/>
      <c r="IE115" s="90"/>
      <c r="IF115" s="90"/>
      <c r="IG115" s="90"/>
      <c r="IH115" s="90"/>
      <c r="II115" s="90"/>
      <c r="IJ115" s="90"/>
      <c r="IK115" s="90"/>
      <c r="IL115" s="90"/>
      <c r="IM115" s="90"/>
      <c r="IN115" s="90"/>
      <c r="IO115" s="90"/>
      <c r="IP115" s="90"/>
      <c r="IQ115" s="90"/>
      <c r="IR115" s="90"/>
      <c r="IS115" s="90"/>
      <c r="IT115" s="90"/>
    </row>
    <row r="116" spans="1:254" ht="12" customHeight="1" x14ac:dyDescent="0.2">
      <c r="A116" s="196"/>
      <c r="B116" s="313" t="str">
        <f>Team1!$C$4</f>
        <v>Coleraine</v>
      </c>
      <c r="C116" s="174">
        <v>2</v>
      </c>
      <c r="D116" s="299" t="str">
        <f>IF(Team1!C17="","",Team1!C17)</f>
        <v>Kitty McClarty</v>
      </c>
      <c r="E116" s="307"/>
      <c r="F116" s="228">
        <v>18</v>
      </c>
      <c r="G116" s="229">
        <v>3</v>
      </c>
      <c r="H116" s="233">
        <f t="shared" si="16"/>
        <v>4</v>
      </c>
      <c r="I116" s="301"/>
      <c r="J116" s="301"/>
      <c r="K116" s="297">
        <f>IF(SUM(H116:H117)=0,"",SUM(H116:H117))</f>
        <v>9</v>
      </c>
    </row>
    <row r="117" spans="1:254" ht="12" customHeight="1" thickBot="1" x14ac:dyDescent="0.25">
      <c r="A117" s="73"/>
      <c r="B117" s="304"/>
      <c r="C117" s="72">
        <v>5</v>
      </c>
      <c r="D117" s="299" t="str">
        <f>IF(Team1!D17="","",Team1!D17)</f>
        <v>Isla McClelland</v>
      </c>
      <c r="E117" s="307"/>
      <c r="F117" s="228">
        <v>18.36</v>
      </c>
      <c r="G117" s="229">
        <v>2</v>
      </c>
      <c r="H117" s="233">
        <f t="shared" si="16"/>
        <v>5</v>
      </c>
      <c r="I117" s="302"/>
      <c r="J117" s="302"/>
      <c r="K117" s="298"/>
    </row>
    <row r="118" spans="1:254" ht="12" customHeight="1" x14ac:dyDescent="0.2">
      <c r="A118" s="69"/>
      <c r="B118" s="303" t="str">
        <f>Team2!$C$4</f>
        <v>Lisburn</v>
      </c>
      <c r="C118" s="70">
        <v>4</v>
      </c>
      <c r="D118" s="338" t="str">
        <f>IF(Team2!G17="","",Team2!G17)</f>
        <v>Alfie Shawe</v>
      </c>
      <c r="E118" s="339"/>
      <c r="F118" s="226">
        <v>17.75</v>
      </c>
      <c r="G118" s="227">
        <v>1</v>
      </c>
      <c r="H118" s="232">
        <f>IF(G118="","",IF(G118=6,1,IF(G118=5,2,IF(G118=4,3,IF(G118=3,4,IF(G118=2,5,6))))))</f>
        <v>6</v>
      </c>
      <c r="I118" s="297">
        <f>IF(SUM(H118:H119)=0,"",SUM(H118:H119))</f>
        <v>8</v>
      </c>
      <c r="J118" s="301"/>
      <c r="K118" s="301"/>
    </row>
    <row r="119" spans="1:254" ht="12" customHeight="1" thickBot="1" x14ac:dyDescent="0.25">
      <c r="A119" s="71">
        <v>12</v>
      </c>
      <c r="B119" s="304"/>
      <c r="C119" s="72">
        <v>1</v>
      </c>
      <c r="D119" s="299" t="str">
        <f>IF(Team2!H17="","",Team2!H17)</f>
        <v xml:space="preserve">Adam Stanley </v>
      </c>
      <c r="E119" s="307"/>
      <c r="F119" s="228">
        <v>19.07</v>
      </c>
      <c r="G119" s="229">
        <v>5</v>
      </c>
      <c r="H119" s="233">
        <f t="shared" ref="H119:H123" si="17">IF(G119="","",IF(G119=6,1,IF(G119=5,2,IF(G119=4,3,IF(G119=3,4,IF(G119=2,5,6))))))</f>
        <v>2</v>
      </c>
      <c r="I119" s="298"/>
      <c r="J119" s="302"/>
      <c r="K119" s="302"/>
    </row>
    <row r="120" spans="1:254" ht="12.95" customHeight="1" x14ac:dyDescent="0.2">
      <c r="A120" s="71" t="s">
        <v>28</v>
      </c>
      <c r="B120" s="305" t="str">
        <f>Team3!$C$4</f>
        <v>Limavady</v>
      </c>
      <c r="C120" s="72">
        <v>3</v>
      </c>
      <c r="D120" s="299" t="str">
        <f>IF(Team3!G17="","",Team3!G17)</f>
        <v>Ben Dinsmore</v>
      </c>
      <c r="E120" s="307"/>
      <c r="F120" s="228">
        <v>21.5</v>
      </c>
      <c r="G120" s="229">
        <v>6</v>
      </c>
      <c r="H120" s="233">
        <f t="shared" si="17"/>
        <v>1</v>
      </c>
      <c r="I120" s="301"/>
      <c r="J120" s="297">
        <f>IF(SUM(H120:H121)=0,"",SUM(H120:H121))</f>
        <v>5</v>
      </c>
      <c r="K120" s="301"/>
      <c r="L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  <c r="HA120" s="90"/>
      <c r="HB120" s="90"/>
      <c r="HC120" s="90"/>
      <c r="HD120" s="90"/>
      <c r="HE120" s="90"/>
      <c r="HF120" s="90"/>
      <c r="HG120" s="90"/>
      <c r="HH120" s="90"/>
      <c r="HI120" s="90"/>
      <c r="HJ120" s="90"/>
      <c r="HK120" s="90"/>
      <c r="HL120" s="90"/>
      <c r="HM120" s="90"/>
      <c r="HN120" s="90"/>
      <c r="HO120" s="90"/>
      <c r="HP120" s="90"/>
      <c r="HQ120" s="90"/>
      <c r="HR120" s="90"/>
      <c r="HS120" s="90"/>
      <c r="HT120" s="90"/>
      <c r="HU120" s="90"/>
      <c r="HV120" s="90"/>
      <c r="HW120" s="90"/>
      <c r="HX120" s="90"/>
      <c r="HY120" s="90"/>
      <c r="HZ120" s="90"/>
      <c r="IA120" s="90"/>
      <c r="IB120" s="90"/>
      <c r="IC120" s="90"/>
      <c r="ID120" s="90"/>
      <c r="IE120" s="90"/>
      <c r="IF120" s="90"/>
      <c r="IG120" s="90"/>
      <c r="IH120" s="90"/>
      <c r="II120" s="90"/>
      <c r="IJ120" s="90"/>
      <c r="IK120" s="90"/>
      <c r="IL120" s="90"/>
      <c r="IM120" s="90"/>
      <c r="IN120" s="90"/>
      <c r="IO120" s="90"/>
      <c r="IP120" s="90"/>
      <c r="IQ120" s="90"/>
      <c r="IR120" s="90"/>
      <c r="IS120" s="90"/>
      <c r="IT120" s="90"/>
    </row>
    <row r="121" spans="1:254" ht="12.95" customHeight="1" thickBot="1" x14ac:dyDescent="0.25">
      <c r="A121" s="71" t="s">
        <v>32</v>
      </c>
      <c r="B121" s="306"/>
      <c r="C121" s="72">
        <v>6</v>
      </c>
      <c r="D121" s="299" t="str">
        <f>IF(Team3!H17="","",Team3!H17)</f>
        <v>Darragh Mc Cann-Kennedy</v>
      </c>
      <c r="E121" s="307"/>
      <c r="F121" s="228">
        <v>19.53</v>
      </c>
      <c r="G121" s="229">
        <v>3</v>
      </c>
      <c r="H121" s="233">
        <f t="shared" si="17"/>
        <v>4</v>
      </c>
      <c r="I121" s="302"/>
      <c r="J121" s="298"/>
      <c r="K121" s="302"/>
      <c r="L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  <c r="HA121" s="90"/>
      <c r="HB121" s="90"/>
      <c r="HC121" s="90"/>
      <c r="HD121" s="90"/>
      <c r="HE121" s="90"/>
      <c r="HF121" s="90"/>
      <c r="HG121" s="90"/>
      <c r="HH121" s="90"/>
      <c r="HI121" s="90"/>
      <c r="HJ121" s="90"/>
      <c r="HK121" s="90"/>
      <c r="HL121" s="90"/>
      <c r="HM121" s="90"/>
      <c r="HN121" s="90"/>
      <c r="HO121" s="90"/>
      <c r="HP121" s="90"/>
      <c r="HQ121" s="90"/>
      <c r="HR121" s="90"/>
      <c r="HS121" s="90"/>
      <c r="HT121" s="90"/>
      <c r="HU121" s="90"/>
      <c r="HV121" s="90"/>
      <c r="HW121" s="90"/>
      <c r="HX121" s="90"/>
      <c r="HY121" s="90"/>
      <c r="HZ121" s="90"/>
      <c r="IA121" s="90"/>
      <c r="IB121" s="90"/>
      <c r="IC121" s="90"/>
      <c r="ID121" s="90"/>
      <c r="IE121" s="90"/>
      <c r="IF121" s="90"/>
      <c r="IG121" s="90"/>
      <c r="IH121" s="90"/>
      <c r="II121" s="90"/>
      <c r="IJ121" s="90"/>
      <c r="IK121" s="90"/>
      <c r="IL121" s="90"/>
      <c r="IM121" s="90"/>
      <c r="IN121" s="90"/>
      <c r="IO121" s="90"/>
      <c r="IP121" s="90"/>
      <c r="IQ121" s="90"/>
      <c r="IR121" s="90"/>
      <c r="IS121" s="90"/>
      <c r="IT121" s="90"/>
    </row>
    <row r="122" spans="1:254" ht="12" customHeight="1" x14ac:dyDescent="0.2">
      <c r="A122" s="196"/>
      <c r="B122" s="313" t="str">
        <f>Team1!$C$4</f>
        <v>Coleraine</v>
      </c>
      <c r="C122" s="174">
        <v>2</v>
      </c>
      <c r="D122" s="299" t="str">
        <f>IF(Team1!G17="","",Team1!G17)</f>
        <v>Joshua Hawe</v>
      </c>
      <c r="E122" s="307"/>
      <c r="F122" s="228">
        <v>20.38</v>
      </c>
      <c r="G122" s="229">
        <v>4</v>
      </c>
      <c r="H122" s="233">
        <f t="shared" si="17"/>
        <v>3</v>
      </c>
      <c r="I122" s="301"/>
      <c r="J122" s="301"/>
      <c r="K122" s="297">
        <f>IF(SUM(H122:H123)=0,"",SUM(H122:H123))</f>
        <v>8</v>
      </c>
    </row>
    <row r="123" spans="1:254" ht="12" customHeight="1" thickBot="1" x14ac:dyDescent="0.25">
      <c r="A123" s="73"/>
      <c r="B123" s="304"/>
      <c r="C123" s="72">
        <v>5</v>
      </c>
      <c r="D123" s="299" t="str">
        <f>IF(Team1!H17="","",Team1!H17)</f>
        <v>Fionnan Duffin</v>
      </c>
      <c r="E123" s="307"/>
      <c r="F123" s="228">
        <v>19.22</v>
      </c>
      <c r="G123" s="229">
        <v>2</v>
      </c>
      <c r="H123" s="233">
        <f t="shared" si="17"/>
        <v>5</v>
      </c>
      <c r="I123" s="302"/>
      <c r="J123" s="302"/>
      <c r="K123" s="298"/>
    </row>
    <row r="124" spans="1:254" ht="12" customHeight="1" x14ac:dyDescent="0.2">
      <c r="A124" s="74"/>
      <c r="B124" s="183"/>
      <c r="C124" s="27"/>
      <c r="D124" s="75"/>
      <c r="E124" s="75"/>
      <c r="F124" s="27"/>
      <c r="G124" s="76" t="s">
        <v>33</v>
      </c>
      <c r="H124" s="143"/>
      <c r="I124" s="223">
        <f>SUM(I76,I82,I88,I94,I100,I106,I112,I118)</f>
        <v>57</v>
      </c>
      <c r="J124" s="223">
        <f>SUM(J78,J84,J90,J96,J102,J108,J114,J120)</f>
        <v>48</v>
      </c>
      <c r="K124" s="223">
        <f>SUM(K80,K86,K92,K98,K104,K110,K116,K122)</f>
        <v>63</v>
      </c>
    </row>
    <row r="125" spans="1:254" ht="12" customHeight="1" x14ac:dyDescent="0.2">
      <c r="A125" s="77"/>
      <c r="B125" s="45"/>
      <c r="C125" s="30"/>
      <c r="D125" s="31"/>
      <c r="E125" s="31"/>
      <c r="F125" s="30"/>
      <c r="G125" s="78" t="s">
        <v>34</v>
      </c>
      <c r="H125" s="42"/>
      <c r="I125" s="224">
        <f>I71</f>
        <v>32</v>
      </c>
      <c r="J125" s="224">
        <f t="shared" ref="J125:K125" si="18">J71</f>
        <v>24</v>
      </c>
      <c r="K125" s="224">
        <f t="shared" si="18"/>
        <v>28</v>
      </c>
    </row>
    <row r="126" spans="1:254" ht="12.95" customHeight="1" thickBot="1" x14ac:dyDescent="0.25">
      <c r="A126" s="79"/>
      <c r="B126" s="184"/>
      <c r="C126" s="80"/>
      <c r="D126" s="81"/>
      <c r="E126" s="81"/>
      <c r="F126" s="80"/>
      <c r="G126" s="82" t="s">
        <v>35</v>
      </c>
      <c r="H126" s="150"/>
      <c r="I126" s="225">
        <f>IF(SUM(I124:I125)=0,"",SUM(I124:I125))</f>
        <v>89</v>
      </c>
      <c r="J126" s="225">
        <f>IF(SUM(J124:J125)=0,"",SUM(J124:J125))</f>
        <v>72</v>
      </c>
      <c r="K126" s="225">
        <f>IF(SUM(K124:K125)=0,"",SUM(K124:K125))</f>
        <v>91</v>
      </c>
    </row>
    <row r="127" spans="1:254" ht="15" customHeight="1" x14ac:dyDescent="0.2">
      <c r="A127" s="28"/>
      <c r="B127" s="177"/>
      <c r="C127" s="28"/>
      <c r="D127" s="28"/>
      <c r="E127" s="28"/>
      <c r="F127" s="28"/>
      <c r="G127" s="28"/>
      <c r="H127" s="28"/>
      <c r="I127" s="186"/>
      <c r="J127" s="186"/>
      <c r="K127" s="186"/>
      <c r="L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  <c r="HA127" s="90"/>
      <c r="HB127" s="90"/>
      <c r="HC127" s="90"/>
      <c r="HD127" s="90"/>
      <c r="HE127" s="90"/>
      <c r="HF127" s="90"/>
      <c r="HG127" s="90"/>
      <c r="HH127" s="90"/>
      <c r="HI127" s="90"/>
      <c r="HJ127" s="90"/>
      <c r="HK127" s="90"/>
      <c r="HL127" s="90"/>
      <c r="HM127" s="90"/>
      <c r="HN127" s="90"/>
      <c r="HO127" s="90"/>
      <c r="HP127" s="90"/>
      <c r="HQ127" s="90"/>
      <c r="HR127" s="90"/>
      <c r="HS127" s="90"/>
      <c r="HT127" s="90"/>
      <c r="HU127" s="90"/>
      <c r="HV127" s="90"/>
      <c r="HW127" s="90"/>
      <c r="HX127" s="90"/>
      <c r="HY127" s="90"/>
      <c r="HZ127" s="90"/>
      <c r="IA127" s="90"/>
      <c r="IB127" s="90"/>
      <c r="IC127" s="90"/>
      <c r="ID127" s="90"/>
      <c r="IE127" s="90"/>
      <c r="IF127" s="90"/>
      <c r="IG127" s="90"/>
      <c r="IH127" s="90"/>
      <c r="II127" s="90"/>
      <c r="IJ127" s="90"/>
      <c r="IK127" s="90"/>
      <c r="IL127" s="90"/>
      <c r="IM127" s="90"/>
      <c r="IN127" s="90"/>
      <c r="IO127" s="90"/>
      <c r="IP127" s="90"/>
      <c r="IQ127" s="90"/>
      <c r="IR127" s="90"/>
      <c r="IS127" s="90"/>
      <c r="IT127" s="90"/>
    </row>
    <row r="128" spans="1:254" ht="15" customHeight="1" x14ac:dyDescent="0.25">
      <c r="A128" s="336" t="s">
        <v>36</v>
      </c>
      <c r="B128" s="337"/>
      <c r="C128" s="337"/>
      <c r="D128" s="337"/>
      <c r="E128" s="337"/>
      <c r="F128" s="337"/>
      <c r="G128" s="337"/>
      <c r="H128" s="337"/>
      <c r="I128" s="337"/>
      <c r="J128" s="337"/>
      <c r="K128" s="337"/>
      <c r="L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  <c r="HA128" s="90"/>
      <c r="HB128" s="90"/>
      <c r="HC128" s="90"/>
      <c r="HD128" s="90"/>
      <c r="HE128" s="90"/>
      <c r="HF128" s="90"/>
      <c r="HG128" s="90"/>
      <c r="HH128" s="90"/>
      <c r="HI128" s="90"/>
      <c r="HJ128" s="90"/>
      <c r="HK128" s="90"/>
      <c r="HL128" s="90"/>
      <c r="HM128" s="90"/>
      <c r="HN128" s="90"/>
      <c r="HO128" s="90"/>
      <c r="HP128" s="90"/>
      <c r="HQ128" s="90"/>
      <c r="HR128" s="90"/>
      <c r="HS128" s="90"/>
      <c r="HT128" s="90"/>
      <c r="HU128" s="90"/>
      <c r="HV128" s="90"/>
      <c r="HW128" s="90"/>
      <c r="HX128" s="90"/>
      <c r="HY128" s="90"/>
      <c r="HZ128" s="90"/>
      <c r="IA128" s="90"/>
      <c r="IB128" s="90"/>
      <c r="IC128" s="90"/>
      <c r="ID128" s="90"/>
      <c r="IE128" s="90"/>
      <c r="IF128" s="90"/>
      <c r="IG128" s="90"/>
      <c r="IH128" s="90"/>
      <c r="II128" s="90"/>
      <c r="IJ128" s="90"/>
      <c r="IK128" s="90"/>
      <c r="IL128" s="90"/>
      <c r="IM128" s="90"/>
      <c r="IN128" s="90"/>
      <c r="IO128" s="90"/>
      <c r="IP128" s="90"/>
      <c r="IQ128" s="90"/>
      <c r="IR128" s="90"/>
      <c r="IS128" s="90"/>
      <c r="IT128" s="90"/>
    </row>
    <row r="129" spans="1:254" ht="12.95" customHeight="1" thickBot="1" x14ac:dyDescent="0.25">
      <c r="A129" s="47"/>
      <c r="B129" s="182"/>
      <c r="C129" s="47"/>
      <c r="D129" s="47"/>
      <c r="E129" s="47"/>
      <c r="F129" s="47"/>
      <c r="G129" s="47"/>
      <c r="H129" s="47"/>
      <c r="I129" s="222"/>
      <c r="J129" s="222"/>
      <c r="K129" s="222"/>
      <c r="L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  <c r="HA129" s="90"/>
      <c r="HB129" s="90"/>
      <c r="HC129" s="90"/>
      <c r="HD129" s="90"/>
      <c r="HE129" s="90"/>
      <c r="HF129" s="90"/>
      <c r="HG129" s="90"/>
      <c r="HH129" s="90"/>
      <c r="HI129" s="90"/>
      <c r="HJ129" s="90"/>
      <c r="HK129" s="90"/>
      <c r="HL129" s="90"/>
      <c r="HM129" s="90"/>
      <c r="HN129" s="90"/>
      <c r="HO129" s="90"/>
      <c r="HP129" s="90"/>
      <c r="HQ129" s="90"/>
      <c r="HR129" s="90"/>
      <c r="HS129" s="90"/>
      <c r="HT129" s="90"/>
      <c r="HU129" s="90"/>
      <c r="HV129" s="90"/>
      <c r="HW129" s="90"/>
      <c r="HX129" s="90"/>
      <c r="HY129" s="90"/>
      <c r="HZ129" s="90"/>
      <c r="IA129" s="90"/>
      <c r="IB129" s="90"/>
      <c r="IC129" s="90"/>
      <c r="ID129" s="90"/>
      <c r="IE129" s="90"/>
      <c r="IF129" s="90"/>
      <c r="IG129" s="90"/>
      <c r="IH129" s="90"/>
      <c r="II129" s="90"/>
      <c r="IJ129" s="90"/>
      <c r="IK129" s="90"/>
      <c r="IL129" s="90"/>
      <c r="IM129" s="90"/>
      <c r="IN129" s="90"/>
      <c r="IO129" s="90"/>
      <c r="IP129" s="90"/>
      <c r="IQ129" s="90"/>
      <c r="IR129" s="90"/>
      <c r="IS129" s="90"/>
      <c r="IT129" s="90"/>
    </row>
    <row r="130" spans="1:254" ht="12.95" customHeight="1" thickBot="1" x14ac:dyDescent="0.25">
      <c r="A130" s="67" t="s">
        <v>1</v>
      </c>
      <c r="B130" s="68" t="s">
        <v>20</v>
      </c>
      <c r="C130" s="68" t="s">
        <v>21</v>
      </c>
      <c r="D130" s="340" t="s">
        <v>22</v>
      </c>
      <c r="E130" s="341"/>
      <c r="F130" s="68" t="s">
        <v>23</v>
      </c>
      <c r="G130" s="68" t="s">
        <v>24</v>
      </c>
      <c r="H130" s="158" t="s">
        <v>16</v>
      </c>
      <c r="I130" s="342" t="s">
        <v>16</v>
      </c>
      <c r="J130" s="343"/>
      <c r="K130" s="344"/>
      <c r="L130" s="90"/>
      <c r="N130" s="90" t="s">
        <v>148</v>
      </c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  <c r="HA130" s="90"/>
      <c r="HB130" s="90"/>
      <c r="HC130" s="90"/>
      <c r="HD130" s="90"/>
      <c r="HE130" s="90"/>
      <c r="HF130" s="90"/>
      <c r="HG130" s="90"/>
      <c r="HH130" s="90"/>
      <c r="HI130" s="90"/>
      <c r="HJ130" s="90"/>
      <c r="HK130" s="90"/>
      <c r="HL130" s="90"/>
      <c r="HM130" s="90"/>
      <c r="HN130" s="90"/>
      <c r="HO130" s="90"/>
      <c r="HP130" s="90"/>
      <c r="HQ130" s="90"/>
      <c r="HR130" s="90"/>
      <c r="HS130" s="90"/>
      <c r="HT130" s="90"/>
      <c r="HU130" s="90"/>
      <c r="HV130" s="90"/>
      <c r="HW130" s="90"/>
      <c r="HX130" s="90"/>
      <c r="HY130" s="90"/>
      <c r="HZ130" s="90"/>
      <c r="IA130" s="90"/>
      <c r="IB130" s="90"/>
      <c r="IC130" s="90"/>
      <c r="ID130" s="90"/>
      <c r="IE130" s="90"/>
      <c r="IF130" s="90"/>
      <c r="IG130" s="90"/>
      <c r="IH130" s="90"/>
      <c r="II130" s="90"/>
      <c r="IJ130" s="90"/>
      <c r="IK130" s="90"/>
      <c r="IL130" s="90"/>
      <c r="IM130" s="90"/>
      <c r="IN130" s="90"/>
      <c r="IO130" s="90"/>
      <c r="IP130" s="90"/>
      <c r="IQ130" s="90"/>
      <c r="IR130" s="90"/>
      <c r="IS130" s="90"/>
      <c r="IT130" s="90"/>
    </row>
    <row r="131" spans="1:254" ht="12" customHeight="1" x14ac:dyDescent="0.2">
      <c r="A131" s="69"/>
      <c r="B131" s="303" t="str">
        <f>Team2!$C$4</f>
        <v>Lisburn</v>
      </c>
      <c r="C131" s="70">
        <v>4</v>
      </c>
      <c r="D131" s="338" t="str">
        <f>IF(Team2!C18="","",Team2!C18)</f>
        <v>Amelia Stone</v>
      </c>
      <c r="E131" s="339"/>
      <c r="F131" s="226">
        <v>25.47</v>
      </c>
      <c r="G131" s="227">
        <v>1</v>
      </c>
      <c r="H131" s="232">
        <f>IF(G131="","",IF(G131=6,1,IF(G131=5,2,IF(G131=4,3,IF(G131=3,4,IF(G131=2,5,6))))))</f>
        <v>6</v>
      </c>
      <c r="I131" s="297">
        <f>IF(SUM(H131:H132)=0,"",SUM(H131:H132))</f>
        <v>7</v>
      </c>
      <c r="J131" s="301"/>
      <c r="K131" s="301"/>
      <c r="L131" s="90"/>
      <c r="N131" s="90" t="s">
        <v>166</v>
      </c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</row>
    <row r="132" spans="1:254" ht="12" customHeight="1" thickBot="1" x14ac:dyDescent="0.25">
      <c r="A132" s="71">
        <v>13</v>
      </c>
      <c r="B132" s="304"/>
      <c r="C132" s="72">
        <v>1</v>
      </c>
      <c r="D132" s="299" t="str">
        <f>IF(Team2!D18="","",Team2!D18)</f>
        <v>Lara Stewart</v>
      </c>
      <c r="E132" s="307"/>
      <c r="F132" s="228">
        <v>34.090000000000003</v>
      </c>
      <c r="G132" s="229">
        <v>6</v>
      </c>
      <c r="H132" s="233">
        <f t="shared" ref="H132:H136" si="19">IF(G132="","",IF(G132=6,1,IF(G132=5,2,IF(G132=4,3,IF(G132=3,4,IF(G132=2,5,6))))))</f>
        <v>1</v>
      </c>
      <c r="I132" s="298"/>
      <c r="J132" s="302"/>
      <c r="K132" s="302"/>
      <c r="L132" s="90"/>
      <c r="N132" s="90" t="s">
        <v>161</v>
      </c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</row>
    <row r="133" spans="1:254" ht="12" customHeight="1" x14ac:dyDescent="0.2">
      <c r="A133" s="71" t="s">
        <v>25</v>
      </c>
      <c r="B133" s="305" t="str">
        <f>Team3!$C$4</f>
        <v>Limavady</v>
      </c>
      <c r="C133" s="72">
        <v>3</v>
      </c>
      <c r="D133" s="299" t="str">
        <f>IF(Team3!C18="","",Team3!C18)</f>
        <v>Myia Mc Clamont</v>
      </c>
      <c r="E133" s="307"/>
      <c r="F133" s="228">
        <v>25.47</v>
      </c>
      <c r="G133" s="229">
        <v>2</v>
      </c>
      <c r="H133" s="233">
        <f t="shared" si="19"/>
        <v>5</v>
      </c>
      <c r="I133" s="301"/>
      <c r="J133" s="297">
        <f>IF(SUM(H133:H134)=0,"",SUM(H133:H134))</f>
        <v>9</v>
      </c>
      <c r="K133" s="301"/>
      <c r="L133" s="90"/>
      <c r="M133" s="90">
        <v>1</v>
      </c>
      <c r="N133" s="90" t="s">
        <v>149</v>
      </c>
      <c r="O133" s="90"/>
      <c r="P133" s="90"/>
      <c r="Q133" s="90">
        <f>(6+5)/2</f>
        <v>5.5</v>
      </c>
      <c r="R133" s="90" t="s">
        <v>155</v>
      </c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  <c r="HA133" s="90"/>
      <c r="HB133" s="90"/>
      <c r="HC133" s="90"/>
      <c r="HD133" s="90"/>
      <c r="HE133" s="90"/>
      <c r="HF133" s="90"/>
      <c r="HG133" s="90"/>
      <c r="HH133" s="90"/>
      <c r="HI133" s="90"/>
      <c r="HJ133" s="90"/>
      <c r="HK133" s="90"/>
      <c r="HL133" s="90"/>
      <c r="HM133" s="90"/>
      <c r="HN133" s="90"/>
      <c r="HO133" s="90"/>
      <c r="HP133" s="90"/>
      <c r="HQ133" s="90"/>
      <c r="HR133" s="90"/>
      <c r="HS133" s="90"/>
      <c r="HT133" s="90"/>
      <c r="HU133" s="90"/>
      <c r="HV133" s="90"/>
      <c r="HW133" s="90"/>
      <c r="HX133" s="90"/>
      <c r="HY133" s="90"/>
      <c r="HZ133" s="90"/>
      <c r="IA133" s="90"/>
      <c r="IB133" s="90"/>
      <c r="IC133" s="90"/>
      <c r="ID133" s="90"/>
      <c r="IE133" s="90"/>
      <c r="IF133" s="90"/>
      <c r="IG133" s="90"/>
      <c r="IH133" s="90"/>
      <c r="II133" s="90"/>
      <c r="IJ133" s="90"/>
      <c r="IK133" s="90"/>
      <c r="IL133" s="90"/>
      <c r="IM133" s="90"/>
      <c r="IN133" s="90"/>
      <c r="IO133" s="90"/>
      <c r="IP133" s="90"/>
      <c r="IQ133" s="90"/>
      <c r="IR133" s="90"/>
      <c r="IS133" s="90"/>
      <c r="IT133" s="90"/>
    </row>
    <row r="134" spans="1:254" ht="12" customHeight="1" thickBot="1" x14ac:dyDescent="0.25">
      <c r="A134" s="71" t="s">
        <v>31</v>
      </c>
      <c r="B134" s="306"/>
      <c r="C134" s="72">
        <v>6</v>
      </c>
      <c r="D134" s="299" t="str">
        <f>IF(Team3!D18="","",Team3!D18)</f>
        <v>Fiona O Neill</v>
      </c>
      <c r="E134" s="307"/>
      <c r="F134" s="228">
        <v>27.12</v>
      </c>
      <c r="G134" s="229">
        <v>3</v>
      </c>
      <c r="H134" s="233">
        <f t="shared" si="19"/>
        <v>4</v>
      </c>
      <c r="I134" s="302"/>
      <c r="J134" s="298"/>
      <c r="K134" s="302"/>
      <c r="L134" s="90"/>
      <c r="N134" s="90" t="s">
        <v>152</v>
      </c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  <c r="HA134" s="90"/>
      <c r="HB134" s="90"/>
      <c r="HC134" s="90"/>
      <c r="HD134" s="90"/>
      <c r="HE134" s="90"/>
      <c r="HF134" s="90"/>
      <c r="HG134" s="90"/>
      <c r="HH134" s="90"/>
      <c r="HI134" s="90"/>
      <c r="HJ134" s="90"/>
      <c r="HK134" s="90"/>
      <c r="HL134" s="90"/>
      <c r="HM134" s="90"/>
      <c r="HN134" s="90"/>
      <c r="HO134" s="90"/>
      <c r="HP134" s="90"/>
      <c r="HQ134" s="90"/>
      <c r="HR134" s="90"/>
      <c r="HS134" s="90"/>
      <c r="HT134" s="90"/>
      <c r="HU134" s="90"/>
      <c r="HV134" s="90"/>
      <c r="HW134" s="90"/>
      <c r="HX134" s="90"/>
      <c r="HY134" s="90"/>
      <c r="HZ134" s="90"/>
      <c r="IA134" s="90"/>
      <c r="IB134" s="90"/>
      <c r="IC134" s="90"/>
      <c r="ID134" s="90"/>
      <c r="IE134" s="90"/>
      <c r="IF134" s="90"/>
      <c r="IG134" s="90"/>
      <c r="IH134" s="90"/>
      <c r="II134" s="90"/>
      <c r="IJ134" s="90"/>
      <c r="IK134" s="90"/>
      <c r="IL134" s="90"/>
      <c r="IM134" s="90"/>
      <c r="IN134" s="90"/>
      <c r="IO134" s="90"/>
      <c r="IP134" s="90"/>
      <c r="IQ134" s="90"/>
      <c r="IR134" s="90"/>
      <c r="IS134" s="90"/>
      <c r="IT134" s="90"/>
    </row>
    <row r="135" spans="1:254" ht="12" customHeight="1" x14ac:dyDescent="0.2">
      <c r="A135" s="71"/>
      <c r="B135" s="313" t="str">
        <f>Team1!$C$4</f>
        <v>Coleraine</v>
      </c>
      <c r="C135" s="174">
        <v>2</v>
      </c>
      <c r="D135" s="346" t="str">
        <f>IF(Team1!C18="","",Team1!C18)</f>
        <v>Alice Boyle</v>
      </c>
      <c r="E135" s="347"/>
      <c r="F135" s="230">
        <v>29.25</v>
      </c>
      <c r="G135" s="231">
        <v>5</v>
      </c>
      <c r="H135" s="234">
        <f t="shared" si="19"/>
        <v>2</v>
      </c>
      <c r="I135" s="301"/>
      <c r="J135" s="301"/>
      <c r="K135" s="297">
        <f>IF(SUM(H135:H136)=0,"",SUM(H135:H136))</f>
        <v>5</v>
      </c>
      <c r="L135" s="90"/>
      <c r="M135" s="90">
        <v>2</v>
      </c>
      <c r="N135" s="90" t="s">
        <v>150</v>
      </c>
      <c r="O135" s="90"/>
      <c r="P135" s="90"/>
      <c r="Q135" s="90">
        <f>(5+4)/2</f>
        <v>4.5</v>
      </c>
      <c r="R135" s="90" t="s">
        <v>155</v>
      </c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  <c r="HA135" s="90"/>
      <c r="HB135" s="90"/>
      <c r="HC135" s="90"/>
      <c r="HD135" s="90"/>
      <c r="HE135" s="90"/>
      <c r="HF135" s="90"/>
      <c r="HG135" s="90"/>
      <c r="HH135" s="90"/>
      <c r="HI135" s="90"/>
      <c r="HJ135" s="90"/>
      <c r="HK135" s="90"/>
      <c r="HL135" s="90"/>
      <c r="HM135" s="90"/>
      <c r="HN135" s="90"/>
      <c r="HO135" s="90"/>
      <c r="HP135" s="90"/>
      <c r="HQ135" s="90"/>
      <c r="HR135" s="90"/>
      <c r="HS135" s="90"/>
      <c r="HT135" s="90"/>
      <c r="HU135" s="90"/>
      <c r="HV135" s="90"/>
      <c r="HW135" s="90"/>
      <c r="HX135" s="90"/>
      <c r="HY135" s="90"/>
      <c r="HZ135" s="90"/>
      <c r="IA135" s="90"/>
      <c r="IB135" s="90"/>
      <c r="IC135" s="90"/>
      <c r="ID135" s="90"/>
      <c r="IE135" s="90"/>
      <c r="IF135" s="90"/>
      <c r="IG135" s="90"/>
      <c r="IH135" s="90"/>
      <c r="II135" s="90"/>
      <c r="IJ135" s="90"/>
      <c r="IK135" s="90"/>
      <c r="IL135" s="90"/>
      <c r="IM135" s="90"/>
      <c r="IN135" s="90"/>
      <c r="IO135" s="90"/>
      <c r="IP135" s="90"/>
      <c r="IQ135" s="90"/>
      <c r="IR135" s="90"/>
      <c r="IS135" s="90"/>
      <c r="IT135" s="90"/>
    </row>
    <row r="136" spans="1:254" ht="12" customHeight="1" thickBot="1" x14ac:dyDescent="0.25">
      <c r="A136" s="73"/>
      <c r="B136" s="304"/>
      <c r="C136" s="72">
        <v>5</v>
      </c>
      <c r="D136" s="299" t="str">
        <f>IF(Team1!D18="","",Team1!D18)</f>
        <v>Olivia Jenkinson</v>
      </c>
      <c r="E136" s="307"/>
      <c r="F136" s="228">
        <v>28.14</v>
      </c>
      <c r="G136" s="229">
        <v>4</v>
      </c>
      <c r="H136" s="233">
        <f t="shared" si="19"/>
        <v>3</v>
      </c>
      <c r="I136" s="302"/>
      <c r="J136" s="302"/>
      <c r="K136" s="298"/>
      <c r="L136" s="90"/>
      <c r="N136" s="90" t="s">
        <v>153</v>
      </c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  <c r="HA136" s="90"/>
      <c r="HB136" s="90"/>
      <c r="HC136" s="90"/>
      <c r="HD136" s="90"/>
      <c r="HE136" s="90"/>
      <c r="HF136" s="90"/>
      <c r="HG136" s="90"/>
      <c r="HH136" s="90"/>
      <c r="HI136" s="90"/>
      <c r="HJ136" s="90"/>
      <c r="HK136" s="90"/>
      <c r="HL136" s="90"/>
      <c r="HM136" s="90"/>
      <c r="HN136" s="90"/>
      <c r="HO136" s="90"/>
      <c r="HP136" s="90"/>
      <c r="HQ136" s="90"/>
      <c r="HR136" s="90"/>
      <c r="HS136" s="90"/>
      <c r="HT136" s="90"/>
      <c r="HU136" s="90"/>
      <c r="HV136" s="90"/>
      <c r="HW136" s="90"/>
      <c r="HX136" s="90"/>
      <c r="HY136" s="90"/>
      <c r="HZ136" s="90"/>
      <c r="IA136" s="90"/>
      <c r="IB136" s="90"/>
      <c r="IC136" s="90"/>
      <c r="ID136" s="90"/>
      <c r="IE136" s="90"/>
      <c r="IF136" s="90"/>
      <c r="IG136" s="90"/>
      <c r="IH136" s="90"/>
      <c r="II136" s="90"/>
      <c r="IJ136" s="90"/>
      <c r="IK136" s="90"/>
      <c r="IL136" s="90"/>
      <c r="IM136" s="90"/>
      <c r="IN136" s="90"/>
      <c r="IO136" s="90"/>
      <c r="IP136" s="90"/>
      <c r="IQ136" s="90"/>
      <c r="IR136" s="90"/>
      <c r="IS136" s="90"/>
      <c r="IT136" s="90"/>
    </row>
    <row r="137" spans="1:254" ht="12" customHeight="1" x14ac:dyDescent="0.2">
      <c r="A137" s="69"/>
      <c r="B137" s="303" t="str">
        <f>Team2!$C$4</f>
        <v>Lisburn</v>
      </c>
      <c r="C137" s="70">
        <v>4</v>
      </c>
      <c r="D137" s="338" t="str">
        <f>IF(Team2!G18="","",Team2!G18)</f>
        <v>Harry McGlashan</v>
      </c>
      <c r="E137" s="339"/>
      <c r="F137" s="226">
        <v>23.06</v>
      </c>
      <c r="G137" s="227">
        <v>1</v>
      </c>
      <c r="H137" s="232">
        <f>IF(G137="","",IF(G137=6,1,IF(G137=5,2,IF(G137=4,3,IF(G137=3,4,IF(G137=2,5,6))))))</f>
        <v>6</v>
      </c>
      <c r="I137" s="297">
        <f>IF(SUM(H137:H138)=0,"",SUM(H137:H138))</f>
        <v>11</v>
      </c>
      <c r="J137" s="301"/>
      <c r="K137" s="301"/>
      <c r="L137" s="90"/>
      <c r="M137" s="90">
        <v>3</v>
      </c>
      <c r="N137" s="90" t="s">
        <v>151</v>
      </c>
      <c r="O137" s="90"/>
      <c r="P137" s="90"/>
      <c r="Q137" s="90">
        <f>(4+3)/2</f>
        <v>3.5</v>
      </c>
      <c r="R137" s="90" t="s">
        <v>155</v>
      </c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  <c r="HA137" s="90"/>
      <c r="HB137" s="90"/>
      <c r="HC137" s="90"/>
      <c r="HD137" s="90"/>
      <c r="HE137" s="90"/>
      <c r="HF137" s="90"/>
      <c r="HG137" s="90"/>
      <c r="HH137" s="90"/>
      <c r="HI137" s="90"/>
      <c r="HJ137" s="90"/>
      <c r="HK137" s="90"/>
      <c r="HL137" s="90"/>
      <c r="HM137" s="90"/>
      <c r="HN137" s="90"/>
      <c r="HO137" s="90"/>
      <c r="HP137" s="90"/>
      <c r="HQ137" s="90"/>
      <c r="HR137" s="90"/>
      <c r="HS137" s="90"/>
      <c r="HT137" s="90"/>
      <c r="HU137" s="90"/>
      <c r="HV137" s="90"/>
      <c r="HW137" s="90"/>
      <c r="HX137" s="90"/>
      <c r="HY137" s="90"/>
      <c r="HZ137" s="90"/>
      <c r="IA137" s="90"/>
      <c r="IB137" s="90"/>
      <c r="IC137" s="90"/>
      <c r="ID137" s="90"/>
      <c r="IE137" s="90"/>
      <c r="IF137" s="90"/>
      <c r="IG137" s="90"/>
      <c r="IH137" s="90"/>
      <c r="II137" s="90"/>
      <c r="IJ137" s="90"/>
      <c r="IK137" s="90"/>
      <c r="IL137" s="90"/>
      <c r="IM137" s="90"/>
      <c r="IN137" s="90"/>
      <c r="IO137" s="90"/>
      <c r="IP137" s="90"/>
      <c r="IQ137" s="90"/>
      <c r="IR137" s="90"/>
      <c r="IS137" s="90"/>
      <c r="IT137" s="90"/>
    </row>
    <row r="138" spans="1:254" ht="12" customHeight="1" thickBot="1" x14ac:dyDescent="0.25">
      <c r="A138" s="71">
        <v>14</v>
      </c>
      <c r="B138" s="304"/>
      <c r="C138" s="72">
        <v>1</v>
      </c>
      <c r="D138" s="299" t="str">
        <f>IF(Team2!H18="","",Team2!H18)</f>
        <v>Ross Gray</v>
      </c>
      <c r="E138" s="307"/>
      <c r="F138" s="228">
        <v>23.75</v>
      </c>
      <c r="G138" s="229">
        <v>2</v>
      </c>
      <c r="H138" s="233">
        <f t="shared" ref="H138:H142" si="20">IF(G138="","",IF(G138=6,1,IF(G138=5,2,IF(G138=4,3,IF(G138=3,4,IF(G138=2,5,6))))))</f>
        <v>5</v>
      </c>
      <c r="I138" s="298"/>
      <c r="J138" s="302"/>
      <c r="K138" s="302"/>
      <c r="L138" s="90"/>
      <c r="N138" s="90" t="s">
        <v>154</v>
      </c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  <c r="HA138" s="90"/>
      <c r="HB138" s="90"/>
      <c r="HC138" s="90"/>
      <c r="HD138" s="90"/>
      <c r="HE138" s="90"/>
      <c r="HF138" s="90"/>
      <c r="HG138" s="90"/>
      <c r="HH138" s="90"/>
      <c r="HI138" s="90"/>
      <c r="HJ138" s="90"/>
      <c r="HK138" s="90"/>
      <c r="HL138" s="90"/>
      <c r="HM138" s="90"/>
      <c r="HN138" s="90"/>
      <c r="HO138" s="90"/>
      <c r="HP138" s="90"/>
      <c r="HQ138" s="90"/>
      <c r="HR138" s="90"/>
      <c r="HS138" s="90"/>
      <c r="HT138" s="90"/>
      <c r="HU138" s="90"/>
      <c r="HV138" s="90"/>
      <c r="HW138" s="90"/>
      <c r="HX138" s="90"/>
      <c r="HY138" s="90"/>
      <c r="HZ138" s="90"/>
      <c r="IA138" s="90"/>
      <c r="IB138" s="90"/>
      <c r="IC138" s="90"/>
      <c r="ID138" s="90"/>
      <c r="IE138" s="90"/>
      <c r="IF138" s="90"/>
      <c r="IG138" s="90"/>
      <c r="IH138" s="90"/>
      <c r="II138" s="90"/>
      <c r="IJ138" s="90"/>
      <c r="IK138" s="90"/>
      <c r="IL138" s="90"/>
      <c r="IM138" s="90"/>
      <c r="IN138" s="90"/>
      <c r="IO138" s="90"/>
      <c r="IP138" s="90"/>
      <c r="IQ138" s="90"/>
      <c r="IR138" s="90"/>
      <c r="IS138" s="90"/>
      <c r="IT138" s="90"/>
    </row>
    <row r="139" spans="1:254" ht="12" customHeight="1" x14ac:dyDescent="0.2">
      <c r="A139" s="71" t="s">
        <v>25</v>
      </c>
      <c r="B139" s="305" t="str">
        <f>Team3!$C$4</f>
        <v>Limavady</v>
      </c>
      <c r="C139" s="72">
        <v>3</v>
      </c>
      <c r="D139" s="299" t="str">
        <f>IF(Team3!G18="","",Team3!G18)</f>
        <v>Henry Connell</v>
      </c>
      <c r="E139" s="307"/>
      <c r="F139" s="228">
        <v>27.53</v>
      </c>
      <c r="G139" s="229">
        <v>4</v>
      </c>
      <c r="H139" s="233">
        <f t="shared" si="20"/>
        <v>3</v>
      </c>
      <c r="I139" s="301"/>
      <c r="J139" s="297">
        <f>IF(SUM(H139:H140)=0,"",SUM(H139:H140))</f>
        <v>4</v>
      </c>
      <c r="K139" s="301"/>
      <c r="L139" s="90"/>
      <c r="M139" s="90">
        <v>4</v>
      </c>
      <c r="N139" s="90" t="s">
        <v>156</v>
      </c>
      <c r="O139" s="90"/>
      <c r="P139" s="90"/>
      <c r="Q139" s="90">
        <f>(3+2)/2</f>
        <v>2.5</v>
      </c>
      <c r="R139" s="90" t="s">
        <v>155</v>
      </c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  <c r="HA139" s="90"/>
      <c r="HB139" s="90"/>
      <c r="HC139" s="90"/>
      <c r="HD139" s="90"/>
      <c r="HE139" s="90"/>
      <c r="HF139" s="90"/>
      <c r="HG139" s="90"/>
      <c r="HH139" s="90"/>
      <c r="HI139" s="90"/>
      <c r="HJ139" s="90"/>
      <c r="HK139" s="90"/>
      <c r="HL139" s="90"/>
      <c r="HM139" s="90"/>
      <c r="HN139" s="90"/>
      <c r="HO139" s="90"/>
      <c r="HP139" s="90"/>
      <c r="HQ139" s="90"/>
      <c r="HR139" s="90"/>
      <c r="HS139" s="90"/>
      <c r="HT139" s="90"/>
      <c r="HU139" s="90"/>
      <c r="HV139" s="90"/>
      <c r="HW139" s="90"/>
      <c r="HX139" s="90"/>
      <c r="HY139" s="90"/>
      <c r="HZ139" s="90"/>
      <c r="IA139" s="90"/>
      <c r="IB139" s="90"/>
      <c r="IC139" s="90"/>
      <c r="ID139" s="90"/>
      <c r="IE139" s="90"/>
      <c r="IF139" s="90"/>
      <c r="IG139" s="90"/>
      <c r="IH139" s="90"/>
      <c r="II139" s="90"/>
      <c r="IJ139" s="90"/>
      <c r="IK139" s="90"/>
      <c r="IL139" s="90"/>
      <c r="IM139" s="90"/>
      <c r="IN139" s="90"/>
      <c r="IO139" s="90"/>
      <c r="IP139" s="90"/>
      <c r="IQ139" s="90"/>
      <c r="IR139" s="90"/>
      <c r="IS139" s="90"/>
      <c r="IT139" s="90"/>
    </row>
    <row r="140" spans="1:254" ht="12" customHeight="1" thickBot="1" x14ac:dyDescent="0.25">
      <c r="A140" s="71" t="s">
        <v>32</v>
      </c>
      <c r="B140" s="306"/>
      <c r="C140" s="72">
        <v>6</v>
      </c>
      <c r="D140" s="299" t="str">
        <f>IF(Team3!H18="","",Team3!H18)</f>
        <v>Jack Mc Gookin</v>
      </c>
      <c r="E140" s="307"/>
      <c r="F140" s="228">
        <v>29.96</v>
      </c>
      <c r="G140" s="229">
        <v>6</v>
      </c>
      <c r="H140" s="233">
        <f t="shared" si="20"/>
        <v>1</v>
      </c>
      <c r="I140" s="302"/>
      <c r="J140" s="298"/>
      <c r="K140" s="302"/>
      <c r="L140" s="90"/>
      <c r="N140" s="90" t="s">
        <v>157</v>
      </c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  <c r="HA140" s="90"/>
      <c r="HB140" s="90"/>
      <c r="HC140" s="90"/>
      <c r="HD140" s="90"/>
      <c r="HE140" s="90"/>
      <c r="HF140" s="90"/>
      <c r="HG140" s="90"/>
      <c r="HH140" s="90"/>
      <c r="HI140" s="90"/>
      <c r="HJ140" s="90"/>
      <c r="HK140" s="90"/>
      <c r="HL140" s="90"/>
      <c r="HM140" s="90"/>
      <c r="HN140" s="90"/>
      <c r="HO140" s="90"/>
      <c r="HP140" s="90"/>
      <c r="HQ140" s="90"/>
      <c r="HR140" s="90"/>
      <c r="HS140" s="90"/>
      <c r="HT140" s="90"/>
      <c r="HU140" s="90"/>
      <c r="HV140" s="90"/>
      <c r="HW140" s="90"/>
      <c r="HX140" s="90"/>
      <c r="HY140" s="90"/>
      <c r="HZ140" s="90"/>
      <c r="IA140" s="90"/>
      <c r="IB140" s="90"/>
      <c r="IC140" s="90"/>
      <c r="ID140" s="90"/>
      <c r="IE140" s="90"/>
      <c r="IF140" s="90"/>
      <c r="IG140" s="90"/>
      <c r="IH140" s="90"/>
      <c r="II140" s="90"/>
      <c r="IJ140" s="90"/>
      <c r="IK140" s="90"/>
      <c r="IL140" s="90"/>
      <c r="IM140" s="90"/>
      <c r="IN140" s="90"/>
      <c r="IO140" s="90"/>
      <c r="IP140" s="90"/>
      <c r="IQ140" s="90"/>
      <c r="IR140" s="90"/>
      <c r="IS140" s="90"/>
      <c r="IT140" s="90"/>
    </row>
    <row r="141" spans="1:254" ht="12" customHeight="1" x14ac:dyDescent="0.2">
      <c r="A141" s="71"/>
      <c r="B141" s="313" t="str">
        <f>Team1!$C$4</f>
        <v>Coleraine</v>
      </c>
      <c r="C141" s="174">
        <v>2</v>
      </c>
      <c r="D141" s="346" t="str">
        <f>IF(Team1!G18="","",Team1!G18)</f>
        <v>Humphry Spence</v>
      </c>
      <c r="E141" s="347"/>
      <c r="F141" s="230">
        <v>29.35</v>
      </c>
      <c r="G141" s="231">
        <v>5</v>
      </c>
      <c r="H141" s="234">
        <f t="shared" si="20"/>
        <v>2</v>
      </c>
      <c r="I141" s="301"/>
      <c r="J141" s="301"/>
      <c r="K141" s="297">
        <f>IF(SUM(H141:H142)=0,"",SUM(H141:H142))</f>
        <v>6</v>
      </c>
      <c r="L141" s="90"/>
      <c r="M141" s="90">
        <v>5</v>
      </c>
      <c r="N141" s="90" t="s">
        <v>159</v>
      </c>
      <c r="O141" s="90"/>
      <c r="P141" s="90"/>
      <c r="Q141" s="90">
        <f>(2+1)/2</f>
        <v>1.5</v>
      </c>
      <c r="R141" s="90" t="s">
        <v>155</v>
      </c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  <c r="HA141" s="90"/>
      <c r="HB141" s="90"/>
      <c r="HC141" s="90"/>
      <c r="HD141" s="90"/>
      <c r="HE141" s="90"/>
      <c r="HF141" s="90"/>
      <c r="HG141" s="90"/>
      <c r="HH141" s="90"/>
      <c r="HI141" s="90"/>
      <c r="HJ141" s="90"/>
      <c r="HK141" s="90"/>
      <c r="HL141" s="90"/>
      <c r="HM141" s="90"/>
      <c r="HN141" s="90"/>
      <c r="HO141" s="90"/>
      <c r="HP141" s="90"/>
      <c r="HQ141" s="90"/>
      <c r="HR141" s="90"/>
      <c r="HS141" s="90"/>
      <c r="HT141" s="90"/>
      <c r="HU141" s="90"/>
      <c r="HV141" s="90"/>
      <c r="HW141" s="90"/>
      <c r="HX141" s="90"/>
      <c r="HY141" s="90"/>
      <c r="HZ141" s="90"/>
      <c r="IA141" s="90"/>
      <c r="IB141" s="90"/>
      <c r="IC141" s="90"/>
      <c r="ID141" s="90"/>
      <c r="IE141" s="90"/>
      <c r="IF141" s="90"/>
      <c r="IG141" s="90"/>
      <c r="IH141" s="90"/>
      <c r="II141" s="90"/>
      <c r="IJ141" s="90"/>
      <c r="IK141" s="90"/>
      <c r="IL141" s="90"/>
      <c r="IM141" s="90"/>
      <c r="IN141" s="90"/>
      <c r="IO141" s="90"/>
      <c r="IP141" s="90"/>
      <c r="IQ141" s="90"/>
      <c r="IR141" s="90"/>
      <c r="IS141" s="90"/>
      <c r="IT141" s="90"/>
    </row>
    <row r="142" spans="1:254" ht="12" customHeight="1" thickBot="1" x14ac:dyDescent="0.25">
      <c r="A142" s="73"/>
      <c r="B142" s="304"/>
      <c r="C142" s="72">
        <v>5</v>
      </c>
      <c r="D142" s="299" t="str">
        <f>IF(Team1!H18="","",Team1!H18)</f>
        <v>Campbell Smyth</v>
      </c>
      <c r="E142" s="307"/>
      <c r="F142" s="228">
        <v>26.34</v>
      </c>
      <c r="G142" s="229">
        <v>3</v>
      </c>
      <c r="H142" s="233">
        <f t="shared" si="20"/>
        <v>4</v>
      </c>
      <c r="I142" s="302"/>
      <c r="J142" s="302"/>
      <c r="K142" s="298"/>
      <c r="L142" s="90"/>
      <c r="N142" s="90" t="s">
        <v>158</v>
      </c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  <c r="HA142" s="90"/>
      <c r="HB142" s="90"/>
      <c r="HC142" s="90"/>
      <c r="HD142" s="90"/>
      <c r="HE142" s="90"/>
      <c r="HF142" s="90"/>
      <c r="HG142" s="90"/>
      <c r="HH142" s="90"/>
      <c r="HI142" s="90"/>
      <c r="HJ142" s="90"/>
      <c r="HK142" s="90"/>
      <c r="HL142" s="90"/>
      <c r="HM142" s="90"/>
      <c r="HN142" s="90"/>
      <c r="HO142" s="90"/>
      <c r="HP142" s="90"/>
      <c r="HQ142" s="90"/>
      <c r="HR142" s="90"/>
      <c r="HS142" s="90"/>
      <c r="HT142" s="90"/>
      <c r="HU142" s="90"/>
      <c r="HV142" s="90"/>
      <c r="HW142" s="90"/>
      <c r="HX142" s="90"/>
      <c r="HY142" s="90"/>
      <c r="HZ142" s="90"/>
      <c r="IA142" s="90"/>
      <c r="IB142" s="90"/>
      <c r="IC142" s="90"/>
      <c r="ID142" s="90"/>
      <c r="IE142" s="90"/>
      <c r="IF142" s="90"/>
      <c r="IG142" s="90"/>
      <c r="IH142" s="90"/>
      <c r="II142" s="90"/>
      <c r="IJ142" s="90"/>
      <c r="IK142" s="90"/>
      <c r="IL142" s="90"/>
      <c r="IM142" s="90"/>
      <c r="IN142" s="90"/>
      <c r="IO142" s="90"/>
      <c r="IP142" s="90"/>
      <c r="IQ142" s="90"/>
      <c r="IR142" s="90"/>
      <c r="IS142" s="90"/>
      <c r="IT142" s="90"/>
    </row>
    <row r="143" spans="1:254" ht="12" customHeight="1" x14ac:dyDescent="0.2">
      <c r="A143" s="69"/>
      <c r="B143" s="303" t="str">
        <f>Team2!$C$4</f>
        <v>Lisburn</v>
      </c>
      <c r="C143" s="70">
        <v>4</v>
      </c>
      <c r="D143" s="338" t="str">
        <f>IF(Team2!C19="","",Team2!C19)</f>
        <v>Zara Hopkins</v>
      </c>
      <c r="E143" s="339"/>
      <c r="F143" s="226">
        <v>21.25</v>
      </c>
      <c r="G143" s="227">
        <v>1</v>
      </c>
      <c r="H143" s="232">
        <f>IF(G143="","",IF(G143=6,1,IF(G143=5,2,IF(G143=4,3,IF(G143=3,4,IF(G143=2,5,6))))))</f>
        <v>6</v>
      </c>
      <c r="I143" s="297">
        <f>IF(SUM(H143:H144)=0,"",SUM(H143:H144))</f>
        <v>8</v>
      </c>
      <c r="J143" s="301"/>
      <c r="K143" s="301"/>
      <c r="L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  <c r="HA143" s="90"/>
      <c r="HB143" s="90"/>
      <c r="HC143" s="90"/>
      <c r="HD143" s="90"/>
      <c r="HE143" s="90"/>
      <c r="HF143" s="90"/>
      <c r="HG143" s="90"/>
      <c r="HH143" s="90"/>
      <c r="HI143" s="90"/>
      <c r="HJ143" s="90"/>
      <c r="HK143" s="90"/>
      <c r="HL143" s="90"/>
      <c r="HM143" s="90"/>
      <c r="HN143" s="90"/>
      <c r="HO143" s="90"/>
      <c r="HP143" s="90"/>
      <c r="HQ143" s="90"/>
      <c r="HR143" s="90"/>
      <c r="HS143" s="90"/>
      <c r="HT143" s="90"/>
      <c r="HU143" s="90"/>
      <c r="HV143" s="90"/>
      <c r="HW143" s="90"/>
      <c r="HX143" s="90"/>
      <c r="HY143" s="90"/>
      <c r="HZ143" s="90"/>
      <c r="IA143" s="90"/>
      <c r="IB143" s="90"/>
      <c r="IC143" s="90"/>
      <c r="ID143" s="90"/>
      <c r="IE143" s="90"/>
      <c r="IF143" s="90"/>
      <c r="IG143" s="90"/>
      <c r="IH143" s="90"/>
      <c r="II143" s="90"/>
      <c r="IJ143" s="90"/>
      <c r="IK143" s="90"/>
      <c r="IL143" s="90"/>
      <c r="IM143" s="90"/>
      <c r="IN143" s="90"/>
      <c r="IO143" s="90"/>
      <c r="IP143" s="90"/>
      <c r="IQ143" s="90"/>
      <c r="IR143" s="90"/>
      <c r="IS143" s="90"/>
      <c r="IT143" s="90"/>
    </row>
    <row r="144" spans="1:254" ht="12" customHeight="1" thickBot="1" x14ac:dyDescent="0.25">
      <c r="A144" s="71">
        <v>15</v>
      </c>
      <c r="B144" s="304"/>
      <c r="C144" s="72">
        <v>1</v>
      </c>
      <c r="D144" s="299" t="str">
        <f>IF(Team2!D19="","",Team2!D19)</f>
        <v>Poppy Jeffers</v>
      </c>
      <c r="E144" s="307"/>
      <c r="F144" s="228">
        <v>25.75</v>
      </c>
      <c r="G144" s="229">
        <v>5</v>
      </c>
      <c r="H144" s="233">
        <f t="shared" ref="H144:H148" si="21">IF(G144="","",IF(G144=6,1,IF(G144=5,2,IF(G144=4,3,IF(G144=3,4,IF(G144=2,5,6))))))</f>
        <v>2</v>
      </c>
      <c r="I144" s="298"/>
      <c r="J144" s="302"/>
      <c r="K144" s="302"/>
      <c r="L144" s="90"/>
      <c r="N144" s="90" t="s">
        <v>160</v>
      </c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  <c r="HA144" s="90"/>
      <c r="HB144" s="90"/>
      <c r="HC144" s="90"/>
      <c r="HD144" s="90"/>
      <c r="HE144" s="90"/>
      <c r="HF144" s="90"/>
      <c r="HG144" s="90"/>
      <c r="HH144" s="90"/>
      <c r="HI144" s="90"/>
      <c r="HJ144" s="90"/>
      <c r="HK144" s="90"/>
      <c r="HL144" s="90"/>
      <c r="HM144" s="90"/>
      <c r="HN144" s="90"/>
      <c r="HO144" s="90"/>
      <c r="HP144" s="90"/>
      <c r="HQ144" s="90"/>
      <c r="HR144" s="90"/>
      <c r="HS144" s="90"/>
      <c r="HT144" s="90"/>
      <c r="HU144" s="90"/>
      <c r="HV144" s="90"/>
      <c r="HW144" s="90"/>
      <c r="HX144" s="90"/>
      <c r="HY144" s="90"/>
      <c r="HZ144" s="90"/>
      <c r="IA144" s="90"/>
      <c r="IB144" s="90"/>
      <c r="IC144" s="90"/>
      <c r="ID144" s="90"/>
      <c r="IE144" s="90"/>
      <c r="IF144" s="90"/>
      <c r="IG144" s="90"/>
      <c r="IH144" s="90"/>
      <c r="II144" s="90"/>
      <c r="IJ144" s="90"/>
      <c r="IK144" s="90"/>
      <c r="IL144" s="90"/>
      <c r="IM144" s="90"/>
      <c r="IN144" s="90"/>
      <c r="IO144" s="90"/>
      <c r="IP144" s="90"/>
      <c r="IQ144" s="90"/>
      <c r="IR144" s="90"/>
      <c r="IS144" s="90"/>
      <c r="IT144" s="90"/>
    </row>
    <row r="145" spans="1:254" ht="12.95" customHeight="1" x14ac:dyDescent="0.2">
      <c r="A145" s="71" t="s">
        <v>26</v>
      </c>
      <c r="B145" s="305" t="str">
        <f>Team3!$C$4</f>
        <v>Limavady</v>
      </c>
      <c r="C145" s="72">
        <v>3</v>
      </c>
      <c r="D145" s="299" t="str">
        <f>IF(Team3!C19="","",Team3!C19)</f>
        <v>Alice Caldwell</v>
      </c>
      <c r="E145" s="307"/>
      <c r="F145" s="228">
        <v>22.5</v>
      </c>
      <c r="G145" s="229">
        <v>2</v>
      </c>
      <c r="H145" s="233">
        <f t="shared" si="21"/>
        <v>5</v>
      </c>
      <c r="I145" s="301"/>
      <c r="J145" s="297">
        <f>IF(SUM(H145:H146)=0,"",SUM(H145:H146))</f>
        <v>6</v>
      </c>
      <c r="K145" s="301"/>
      <c r="L145" s="90"/>
      <c r="N145" s="90" t="s">
        <v>161</v>
      </c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  <c r="HA145" s="90"/>
      <c r="HB145" s="90"/>
      <c r="HC145" s="90"/>
      <c r="HD145" s="90"/>
      <c r="HE145" s="90"/>
      <c r="HF145" s="90"/>
      <c r="HG145" s="90"/>
      <c r="HH145" s="90"/>
      <c r="HI145" s="90"/>
      <c r="HJ145" s="90"/>
      <c r="HK145" s="90"/>
      <c r="HL145" s="90"/>
      <c r="HM145" s="90"/>
      <c r="HN145" s="90"/>
      <c r="HO145" s="90"/>
      <c r="HP145" s="90"/>
      <c r="HQ145" s="90"/>
      <c r="HR145" s="90"/>
      <c r="HS145" s="90"/>
      <c r="HT145" s="90"/>
      <c r="HU145" s="90"/>
      <c r="HV145" s="90"/>
      <c r="HW145" s="90"/>
      <c r="HX145" s="90"/>
      <c r="HY145" s="90"/>
      <c r="HZ145" s="90"/>
      <c r="IA145" s="90"/>
      <c r="IB145" s="90"/>
      <c r="IC145" s="90"/>
      <c r="ID145" s="90"/>
      <c r="IE145" s="90"/>
      <c r="IF145" s="90"/>
      <c r="IG145" s="90"/>
      <c r="IH145" s="90"/>
      <c r="II145" s="90"/>
      <c r="IJ145" s="90"/>
      <c r="IK145" s="90"/>
      <c r="IL145" s="90"/>
      <c r="IM145" s="90"/>
      <c r="IN145" s="90"/>
      <c r="IO145" s="90"/>
      <c r="IP145" s="90"/>
      <c r="IQ145" s="90"/>
      <c r="IR145" s="90"/>
      <c r="IS145" s="90"/>
      <c r="IT145" s="90"/>
    </row>
    <row r="146" spans="1:254" ht="12.95" customHeight="1" thickBot="1" x14ac:dyDescent="0.25">
      <c r="A146" s="71" t="s">
        <v>31</v>
      </c>
      <c r="B146" s="306"/>
      <c r="C146" s="72">
        <v>6</v>
      </c>
      <c r="D146" s="299" t="str">
        <f>IF(Team3!D19="","",Team3!D19)</f>
        <v>Emma Gallagher</v>
      </c>
      <c r="E146" s="307"/>
      <c r="F146" s="228">
        <v>26.34</v>
      </c>
      <c r="G146" s="229">
        <v>6</v>
      </c>
      <c r="H146" s="233">
        <f t="shared" si="21"/>
        <v>1</v>
      </c>
      <c r="I146" s="302"/>
      <c r="J146" s="298"/>
      <c r="K146" s="302"/>
      <c r="L146" s="90"/>
      <c r="M146" s="90">
        <v>1</v>
      </c>
      <c r="N146" s="90" t="s">
        <v>162</v>
      </c>
      <c r="O146" s="90"/>
      <c r="P146" s="90"/>
      <c r="Q146" s="90">
        <f>(6+5+4)/3</f>
        <v>5</v>
      </c>
      <c r="R146" s="90" t="s">
        <v>155</v>
      </c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  <c r="HA146" s="90"/>
      <c r="HB146" s="90"/>
      <c r="HC146" s="90"/>
      <c r="HD146" s="90"/>
      <c r="HE146" s="90"/>
      <c r="HF146" s="90"/>
      <c r="HG146" s="90"/>
      <c r="HH146" s="90"/>
      <c r="HI146" s="90"/>
      <c r="HJ146" s="90"/>
      <c r="HK146" s="90"/>
      <c r="HL146" s="90"/>
      <c r="HM146" s="90"/>
      <c r="HN146" s="90"/>
      <c r="HO146" s="90"/>
      <c r="HP146" s="90"/>
      <c r="HQ146" s="90"/>
      <c r="HR146" s="90"/>
      <c r="HS146" s="90"/>
      <c r="HT146" s="90"/>
      <c r="HU146" s="90"/>
      <c r="HV146" s="90"/>
      <c r="HW146" s="90"/>
      <c r="HX146" s="90"/>
      <c r="HY146" s="90"/>
      <c r="HZ146" s="90"/>
      <c r="IA146" s="90"/>
      <c r="IB146" s="90"/>
      <c r="IC146" s="90"/>
      <c r="ID146" s="90"/>
      <c r="IE146" s="90"/>
      <c r="IF146" s="90"/>
      <c r="IG146" s="90"/>
      <c r="IH146" s="90"/>
      <c r="II146" s="90"/>
      <c r="IJ146" s="90"/>
      <c r="IK146" s="90"/>
      <c r="IL146" s="90"/>
      <c r="IM146" s="90"/>
      <c r="IN146" s="90"/>
      <c r="IO146" s="90"/>
      <c r="IP146" s="90"/>
      <c r="IQ146" s="90"/>
      <c r="IR146" s="90"/>
      <c r="IS146" s="90"/>
      <c r="IT146" s="90"/>
    </row>
    <row r="147" spans="1:254" ht="12" customHeight="1" x14ac:dyDescent="0.2">
      <c r="A147" s="71"/>
      <c r="B147" s="313" t="str">
        <f>Team1!$C$4</f>
        <v>Coleraine</v>
      </c>
      <c r="C147" s="174">
        <v>2</v>
      </c>
      <c r="D147" s="299" t="str">
        <f>IF(Team1!C19="","",Team1!C19)</f>
        <v>Erin Isley</v>
      </c>
      <c r="E147" s="307"/>
      <c r="F147" s="228">
        <v>23.9</v>
      </c>
      <c r="G147" s="229">
        <v>4</v>
      </c>
      <c r="H147" s="233">
        <f t="shared" si="21"/>
        <v>3</v>
      </c>
      <c r="I147" s="301"/>
      <c r="J147" s="301"/>
      <c r="K147" s="297">
        <f>IF(SUM(H147:H148)=0,"",SUM(H147:H148))</f>
        <v>7</v>
      </c>
      <c r="L147" s="90"/>
      <c r="N147" s="90" t="s">
        <v>153</v>
      </c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  <c r="HA147" s="90"/>
      <c r="HB147" s="90"/>
      <c r="HC147" s="90"/>
      <c r="HD147" s="90"/>
      <c r="HE147" s="90"/>
      <c r="HF147" s="90"/>
      <c r="HG147" s="90"/>
      <c r="HH147" s="90"/>
      <c r="HI147" s="90"/>
      <c r="HJ147" s="90"/>
      <c r="HK147" s="90"/>
      <c r="HL147" s="90"/>
      <c r="HM147" s="90"/>
      <c r="HN147" s="90"/>
      <c r="HO147" s="90"/>
      <c r="HP147" s="90"/>
      <c r="HQ147" s="90"/>
      <c r="HR147" s="90"/>
      <c r="HS147" s="90"/>
      <c r="HT147" s="90"/>
      <c r="HU147" s="90"/>
      <c r="HV147" s="90"/>
      <c r="HW147" s="90"/>
      <c r="HX147" s="90"/>
      <c r="HY147" s="90"/>
      <c r="HZ147" s="90"/>
      <c r="IA147" s="90"/>
      <c r="IB147" s="90"/>
      <c r="IC147" s="90"/>
      <c r="ID147" s="90"/>
      <c r="IE147" s="90"/>
      <c r="IF147" s="90"/>
      <c r="IG147" s="90"/>
      <c r="IH147" s="90"/>
      <c r="II147" s="90"/>
      <c r="IJ147" s="90"/>
      <c r="IK147" s="90"/>
      <c r="IL147" s="90"/>
      <c r="IM147" s="90"/>
      <c r="IN147" s="90"/>
      <c r="IO147" s="90"/>
      <c r="IP147" s="90"/>
      <c r="IQ147" s="90"/>
      <c r="IR147" s="90"/>
      <c r="IS147" s="90"/>
      <c r="IT147" s="90"/>
    </row>
    <row r="148" spans="1:254" ht="12" customHeight="1" thickBot="1" x14ac:dyDescent="0.25">
      <c r="A148" s="73"/>
      <c r="B148" s="304"/>
      <c r="C148" s="72">
        <v>5</v>
      </c>
      <c r="D148" s="299" t="str">
        <f>IF(Team1!D19="","",Team1!D19)</f>
        <v>Eva Marran</v>
      </c>
      <c r="E148" s="307"/>
      <c r="F148" s="228">
        <v>23.72</v>
      </c>
      <c r="G148" s="229">
        <v>3</v>
      </c>
      <c r="H148" s="233">
        <f t="shared" si="21"/>
        <v>4</v>
      </c>
      <c r="I148" s="302"/>
      <c r="J148" s="302"/>
      <c r="K148" s="298"/>
      <c r="L148" s="90"/>
      <c r="M148" s="90">
        <v>2</v>
      </c>
      <c r="N148" s="90" t="s">
        <v>163</v>
      </c>
      <c r="O148" s="90"/>
      <c r="P148" s="90"/>
      <c r="Q148" s="90">
        <f>(5+4+3)/3</f>
        <v>4</v>
      </c>
      <c r="R148" s="90" t="s">
        <v>155</v>
      </c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  <c r="HA148" s="90"/>
      <c r="HB148" s="90"/>
      <c r="HC148" s="90"/>
      <c r="HD148" s="90"/>
      <c r="HE148" s="90"/>
      <c r="HF148" s="90"/>
      <c r="HG148" s="90"/>
      <c r="HH148" s="90"/>
      <c r="HI148" s="90"/>
      <c r="HJ148" s="90"/>
      <c r="HK148" s="90"/>
      <c r="HL148" s="90"/>
      <c r="HM148" s="90"/>
      <c r="HN148" s="90"/>
      <c r="HO148" s="90"/>
      <c r="HP148" s="90"/>
      <c r="HQ148" s="90"/>
      <c r="HR148" s="90"/>
      <c r="HS148" s="90"/>
      <c r="HT148" s="90"/>
      <c r="HU148" s="90"/>
      <c r="HV148" s="90"/>
      <c r="HW148" s="90"/>
      <c r="HX148" s="90"/>
      <c r="HY148" s="90"/>
      <c r="HZ148" s="90"/>
      <c r="IA148" s="90"/>
      <c r="IB148" s="90"/>
      <c r="IC148" s="90"/>
      <c r="ID148" s="90"/>
      <c r="IE148" s="90"/>
      <c r="IF148" s="90"/>
      <c r="IG148" s="90"/>
      <c r="IH148" s="90"/>
      <c r="II148" s="90"/>
      <c r="IJ148" s="90"/>
      <c r="IK148" s="90"/>
      <c r="IL148" s="90"/>
      <c r="IM148" s="90"/>
      <c r="IN148" s="90"/>
      <c r="IO148" s="90"/>
      <c r="IP148" s="90"/>
      <c r="IQ148" s="90"/>
      <c r="IR148" s="90"/>
      <c r="IS148" s="90"/>
      <c r="IT148" s="90"/>
    </row>
    <row r="149" spans="1:254" ht="12" customHeight="1" x14ac:dyDescent="0.2">
      <c r="A149" s="69"/>
      <c r="B149" s="303" t="str">
        <f>Team2!$C$4</f>
        <v>Lisburn</v>
      </c>
      <c r="C149" s="70">
        <v>4</v>
      </c>
      <c r="D149" s="338" t="str">
        <f>IF(Team2!G19="","",Team2!G19)</f>
        <v xml:space="preserve">Rory Stanley </v>
      </c>
      <c r="E149" s="339"/>
      <c r="F149" s="226">
        <v>25.23</v>
      </c>
      <c r="G149" s="227">
        <v>2</v>
      </c>
      <c r="H149" s="232">
        <f>IF(G149="","",IF(G149=6,1,IF(G149=5,2,IF(G149=4,3,IF(G149=3,4,IF(G149=2,5,6))))))</f>
        <v>5</v>
      </c>
      <c r="I149" s="297">
        <f>IF(SUM(H149:H150)=0,"",SUM(H149:H150))</f>
        <v>6</v>
      </c>
      <c r="J149" s="301"/>
      <c r="K149" s="301"/>
      <c r="L149" s="90"/>
      <c r="N149" s="90" t="s">
        <v>154</v>
      </c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  <c r="HA149" s="90"/>
      <c r="HB149" s="90"/>
      <c r="HC149" s="90"/>
      <c r="HD149" s="90"/>
      <c r="HE149" s="90"/>
      <c r="HF149" s="90"/>
      <c r="HG149" s="90"/>
      <c r="HH149" s="90"/>
      <c r="HI149" s="90"/>
      <c r="HJ149" s="90"/>
      <c r="HK149" s="90"/>
      <c r="HL149" s="90"/>
      <c r="HM149" s="90"/>
      <c r="HN149" s="90"/>
      <c r="HO149" s="90"/>
      <c r="HP149" s="90"/>
      <c r="HQ149" s="90"/>
      <c r="HR149" s="90"/>
      <c r="HS149" s="90"/>
      <c r="HT149" s="90"/>
      <c r="HU149" s="90"/>
      <c r="HV149" s="90"/>
      <c r="HW149" s="90"/>
      <c r="HX149" s="90"/>
      <c r="HY149" s="90"/>
      <c r="HZ149" s="90"/>
      <c r="IA149" s="90"/>
      <c r="IB149" s="90"/>
      <c r="IC149" s="90"/>
      <c r="ID149" s="90"/>
      <c r="IE149" s="90"/>
      <c r="IF149" s="90"/>
      <c r="IG149" s="90"/>
      <c r="IH149" s="90"/>
      <c r="II149" s="90"/>
      <c r="IJ149" s="90"/>
      <c r="IK149" s="90"/>
      <c r="IL149" s="90"/>
      <c r="IM149" s="90"/>
      <c r="IN149" s="90"/>
      <c r="IO149" s="90"/>
      <c r="IP149" s="90"/>
      <c r="IQ149" s="90"/>
      <c r="IR149" s="90"/>
      <c r="IS149" s="90"/>
      <c r="IT149" s="90"/>
    </row>
    <row r="150" spans="1:254" ht="12" customHeight="1" thickBot="1" x14ac:dyDescent="0.25">
      <c r="A150" s="71">
        <v>16</v>
      </c>
      <c r="B150" s="304"/>
      <c r="C150" s="72">
        <v>1</v>
      </c>
      <c r="D150" s="299" t="str">
        <f>IF(Team2!H19="","",Team2!H19)</f>
        <v xml:space="preserve">Patrick Munce </v>
      </c>
      <c r="E150" s="307"/>
      <c r="F150" s="228">
        <v>26.66</v>
      </c>
      <c r="G150" s="229">
        <v>6</v>
      </c>
      <c r="H150" s="233">
        <f t="shared" ref="H150:H154" si="22">IF(G150="","",IF(G150=6,1,IF(G150=5,2,IF(G150=4,3,IF(G150=3,4,IF(G150=2,5,6))))))</f>
        <v>1</v>
      </c>
      <c r="I150" s="298"/>
      <c r="J150" s="302"/>
      <c r="K150" s="302"/>
      <c r="L150" s="90"/>
      <c r="M150" s="90">
        <v>3</v>
      </c>
      <c r="N150" s="90" t="s">
        <v>164</v>
      </c>
      <c r="O150" s="90"/>
      <c r="P150" s="90"/>
      <c r="Q150" s="90">
        <f>(4+3+2)/3</f>
        <v>3</v>
      </c>
      <c r="R150" s="90" t="s">
        <v>155</v>
      </c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  <c r="HA150" s="90"/>
      <c r="HB150" s="90"/>
      <c r="HC150" s="90"/>
      <c r="HD150" s="90"/>
      <c r="HE150" s="90"/>
      <c r="HF150" s="90"/>
      <c r="HG150" s="90"/>
      <c r="HH150" s="90"/>
      <c r="HI150" s="90"/>
      <c r="HJ150" s="90"/>
      <c r="HK150" s="90"/>
      <c r="HL150" s="90"/>
      <c r="HM150" s="90"/>
      <c r="HN150" s="90"/>
      <c r="HO150" s="90"/>
      <c r="HP150" s="90"/>
      <c r="HQ150" s="90"/>
      <c r="HR150" s="90"/>
      <c r="HS150" s="90"/>
      <c r="HT150" s="90"/>
      <c r="HU150" s="90"/>
      <c r="HV150" s="90"/>
      <c r="HW150" s="90"/>
      <c r="HX150" s="90"/>
      <c r="HY150" s="90"/>
      <c r="HZ150" s="90"/>
      <c r="IA150" s="90"/>
      <c r="IB150" s="90"/>
      <c r="IC150" s="90"/>
      <c r="ID150" s="90"/>
      <c r="IE150" s="90"/>
      <c r="IF150" s="90"/>
      <c r="IG150" s="90"/>
      <c r="IH150" s="90"/>
      <c r="II150" s="90"/>
      <c r="IJ150" s="90"/>
      <c r="IK150" s="90"/>
      <c r="IL150" s="90"/>
      <c r="IM150" s="90"/>
      <c r="IN150" s="90"/>
      <c r="IO150" s="90"/>
      <c r="IP150" s="90"/>
      <c r="IQ150" s="90"/>
      <c r="IR150" s="90"/>
      <c r="IS150" s="90"/>
      <c r="IT150" s="90"/>
    </row>
    <row r="151" spans="1:254" ht="12.75" customHeight="1" x14ac:dyDescent="0.2">
      <c r="A151" s="71" t="s">
        <v>26</v>
      </c>
      <c r="B151" s="305" t="str">
        <f>Team3!$C$4</f>
        <v>Limavady</v>
      </c>
      <c r="C151" s="72">
        <v>3</v>
      </c>
      <c r="D151" s="299" t="str">
        <f>IF(Team3!G19="","",Team3!G19)</f>
        <v>Sam Staats Howard</v>
      </c>
      <c r="E151" s="307"/>
      <c r="F151" s="228">
        <v>23.87</v>
      </c>
      <c r="G151" s="229">
        <v>1</v>
      </c>
      <c r="H151" s="233">
        <f t="shared" si="22"/>
        <v>6</v>
      </c>
      <c r="I151" s="301"/>
      <c r="J151" s="297">
        <f>IF(SUM(H151:H152)=0,"",SUM(H151:H152))</f>
        <v>9</v>
      </c>
      <c r="K151" s="301"/>
      <c r="L151" s="90"/>
      <c r="N151" s="90" t="s">
        <v>157</v>
      </c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  <c r="HA151" s="90"/>
      <c r="HB151" s="90"/>
      <c r="HC151" s="90"/>
      <c r="HD151" s="90"/>
      <c r="HE151" s="90"/>
      <c r="HF151" s="90"/>
      <c r="HG151" s="90"/>
      <c r="HH151" s="90"/>
      <c r="HI151" s="90"/>
      <c r="HJ151" s="90"/>
      <c r="HK151" s="90"/>
      <c r="HL151" s="90"/>
      <c r="HM151" s="90"/>
      <c r="HN151" s="90"/>
      <c r="HO151" s="90"/>
      <c r="HP151" s="90"/>
      <c r="HQ151" s="90"/>
      <c r="HR151" s="90"/>
      <c r="HS151" s="90"/>
      <c r="HT151" s="90"/>
      <c r="HU151" s="90"/>
      <c r="HV151" s="90"/>
      <c r="HW151" s="90"/>
      <c r="HX151" s="90"/>
      <c r="HY151" s="90"/>
      <c r="HZ151" s="90"/>
      <c r="IA151" s="90"/>
      <c r="IB151" s="90"/>
      <c r="IC151" s="90"/>
      <c r="ID151" s="90"/>
      <c r="IE151" s="90"/>
      <c r="IF151" s="90"/>
      <c r="IG151" s="90"/>
      <c r="IH151" s="90"/>
      <c r="II151" s="90"/>
      <c r="IJ151" s="90"/>
      <c r="IK151" s="90"/>
      <c r="IL151" s="90"/>
      <c r="IM151" s="90"/>
      <c r="IN151" s="90"/>
      <c r="IO151" s="90"/>
      <c r="IP151" s="90"/>
      <c r="IQ151" s="90"/>
      <c r="IR151" s="90"/>
      <c r="IS151" s="90"/>
      <c r="IT151" s="90"/>
    </row>
    <row r="152" spans="1:254" ht="12.75" customHeight="1" thickBot="1" x14ac:dyDescent="0.25">
      <c r="A152" s="71" t="s">
        <v>32</v>
      </c>
      <c r="B152" s="306"/>
      <c r="C152" s="72">
        <v>6</v>
      </c>
      <c r="D152" s="299" t="str">
        <f>IF(Team3!H19="","",Team3!H19)</f>
        <v>Kevin Mc Macken</v>
      </c>
      <c r="E152" s="307"/>
      <c r="F152" s="228">
        <v>25.5</v>
      </c>
      <c r="G152" s="229">
        <v>4</v>
      </c>
      <c r="H152" s="233">
        <f t="shared" si="22"/>
        <v>3</v>
      </c>
      <c r="I152" s="302"/>
      <c r="J152" s="298"/>
      <c r="K152" s="302"/>
      <c r="L152" s="90"/>
      <c r="M152" s="90">
        <v>4</v>
      </c>
      <c r="N152" s="90" t="s">
        <v>165</v>
      </c>
      <c r="O152" s="90"/>
      <c r="P152" s="90"/>
      <c r="Q152" s="90">
        <f>(3+2+1)/3</f>
        <v>2</v>
      </c>
      <c r="R152" s="90" t="s">
        <v>155</v>
      </c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  <c r="HA152" s="90"/>
      <c r="HB152" s="90"/>
      <c r="HC152" s="90"/>
      <c r="HD152" s="90"/>
      <c r="HE152" s="90"/>
      <c r="HF152" s="90"/>
      <c r="HG152" s="90"/>
      <c r="HH152" s="90"/>
      <c r="HI152" s="90"/>
      <c r="HJ152" s="90"/>
      <c r="HK152" s="90"/>
      <c r="HL152" s="90"/>
      <c r="HM152" s="90"/>
      <c r="HN152" s="90"/>
      <c r="HO152" s="90"/>
      <c r="HP152" s="90"/>
      <c r="HQ152" s="90"/>
      <c r="HR152" s="90"/>
      <c r="HS152" s="90"/>
      <c r="HT152" s="90"/>
      <c r="HU152" s="90"/>
      <c r="HV152" s="90"/>
      <c r="HW152" s="90"/>
      <c r="HX152" s="90"/>
      <c r="HY152" s="90"/>
      <c r="HZ152" s="90"/>
      <c r="IA152" s="90"/>
      <c r="IB152" s="90"/>
      <c r="IC152" s="90"/>
      <c r="ID152" s="90"/>
      <c r="IE152" s="90"/>
      <c r="IF152" s="90"/>
      <c r="IG152" s="90"/>
      <c r="IH152" s="90"/>
      <c r="II152" s="90"/>
      <c r="IJ152" s="90"/>
      <c r="IK152" s="90"/>
      <c r="IL152" s="90"/>
      <c r="IM152" s="90"/>
      <c r="IN152" s="90"/>
      <c r="IO152" s="90"/>
      <c r="IP152" s="90"/>
      <c r="IQ152" s="90"/>
      <c r="IR152" s="90"/>
      <c r="IS152" s="90"/>
      <c r="IT152" s="90"/>
    </row>
    <row r="153" spans="1:254" ht="12" customHeight="1" x14ac:dyDescent="0.2">
      <c r="A153" s="71"/>
      <c r="B153" s="313" t="str">
        <f>Team1!$C$4</f>
        <v>Coleraine</v>
      </c>
      <c r="C153" s="174">
        <v>2</v>
      </c>
      <c r="D153" s="299" t="str">
        <f>IF(Team1!G19="","",Team1!G19)</f>
        <v>Dara Cassidy</v>
      </c>
      <c r="E153" s="307"/>
      <c r="F153" s="228">
        <v>25.44</v>
      </c>
      <c r="G153" s="229">
        <v>5</v>
      </c>
      <c r="H153" s="233">
        <f t="shared" si="22"/>
        <v>2</v>
      </c>
      <c r="I153" s="301"/>
      <c r="J153" s="301"/>
      <c r="K153" s="297">
        <f>IF(SUM(H153:H154)=0,"",SUM(H153:H154))</f>
        <v>6</v>
      </c>
      <c r="L153" s="90"/>
      <c r="N153" s="90" t="s">
        <v>158</v>
      </c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  <c r="HA153" s="90"/>
      <c r="HB153" s="90"/>
      <c r="HC153" s="90"/>
      <c r="HD153" s="90"/>
      <c r="HE153" s="90"/>
      <c r="HF153" s="90"/>
      <c r="HG153" s="90"/>
      <c r="HH153" s="90"/>
      <c r="HI153" s="90"/>
      <c r="HJ153" s="90"/>
      <c r="HK153" s="90"/>
      <c r="HL153" s="90"/>
      <c r="HM153" s="90"/>
      <c r="HN153" s="90"/>
      <c r="HO153" s="90"/>
      <c r="HP153" s="90"/>
      <c r="HQ153" s="90"/>
      <c r="HR153" s="90"/>
      <c r="HS153" s="90"/>
      <c r="HT153" s="90"/>
      <c r="HU153" s="90"/>
      <c r="HV153" s="90"/>
      <c r="HW153" s="90"/>
      <c r="HX153" s="90"/>
      <c r="HY153" s="90"/>
      <c r="HZ153" s="90"/>
      <c r="IA153" s="90"/>
      <c r="IB153" s="90"/>
      <c r="IC153" s="90"/>
      <c r="ID153" s="90"/>
      <c r="IE153" s="90"/>
      <c r="IF153" s="90"/>
      <c r="IG153" s="90"/>
      <c r="IH153" s="90"/>
      <c r="II153" s="90"/>
      <c r="IJ153" s="90"/>
      <c r="IK153" s="90"/>
      <c r="IL153" s="90"/>
      <c r="IM153" s="90"/>
      <c r="IN153" s="90"/>
      <c r="IO153" s="90"/>
      <c r="IP153" s="90"/>
      <c r="IQ153" s="90"/>
      <c r="IR153" s="90"/>
      <c r="IS153" s="90"/>
      <c r="IT153" s="90"/>
    </row>
    <row r="154" spans="1:254" ht="12" customHeight="1" thickBot="1" x14ac:dyDescent="0.25">
      <c r="A154" s="73"/>
      <c r="B154" s="304"/>
      <c r="C154" s="72">
        <v>5</v>
      </c>
      <c r="D154" s="299" t="str">
        <f>IF(Team1!H19="","",Team1!H19)</f>
        <v>Noah McClelland</v>
      </c>
      <c r="E154" s="307"/>
      <c r="F154" s="228">
        <v>25.44</v>
      </c>
      <c r="G154" s="229">
        <v>3</v>
      </c>
      <c r="H154" s="233">
        <f t="shared" si="22"/>
        <v>4</v>
      </c>
      <c r="I154" s="302"/>
      <c r="J154" s="302"/>
      <c r="K154" s="298"/>
      <c r="L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  <c r="HA154" s="90"/>
      <c r="HB154" s="90"/>
      <c r="HC154" s="90"/>
      <c r="HD154" s="90"/>
      <c r="HE154" s="90"/>
      <c r="HF154" s="90"/>
      <c r="HG154" s="90"/>
      <c r="HH154" s="90"/>
      <c r="HI154" s="90"/>
      <c r="HJ154" s="90"/>
      <c r="HK154" s="90"/>
      <c r="HL154" s="90"/>
      <c r="HM154" s="90"/>
      <c r="HN154" s="90"/>
      <c r="HO154" s="90"/>
      <c r="HP154" s="90"/>
      <c r="HQ154" s="90"/>
      <c r="HR154" s="90"/>
      <c r="HS154" s="90"/>
      <c r="HT154" s="90"/>
      <c r="HU154" s="90"/>
      <c r="HV154" s="90"/>
      <c r="HW154" s="90"/>
      <c r="HX154" s="90"/>
      <c r="HY154" s="90"/>
      <c r="HZ154" s="90"/>
      <c r="IA154" s="90"/>
      <c r="IB154" s="90"/>
      <c r="IC154" s="90"/>
      <c r="ID154" s="90"/>
      <c r="IE154" s="90"/>
      <c r="IF154" s="90"/>
      <c r="IG154" s="90"/>
      <c r="IH154" s="90"/>
      <c r="II154" s="90"/>
      <c r="IJ154" s="90"/>
      <c r="IK154" s="90"/>
      <c r="IL154" s="90"/>
      <c r="IM154" s="90"/>
      <c r="IN154" s="90"/>
      <c r="IO154" s="90"/>
      <c r="IP154" s="90"/>
      <c r="IQ154" s="90"/>
      <c r="IR154" s="90"/>
      <c r="IS154" s="90"/>
      <c r="IT154" s="90"/>
    </row>
    <row r="155" spans="1:254" ht="12" customHeight="1" x14ac:dyDescent="0.2">
      <c r="A155" s="69"/>
      <c r="B155" s="303" t="str">
        <f>Team2!$C$4</f>
        <v>Lisburn</v>
      </c>
      <c r="C155" s="70">
        <v>4</v>
      </c>
      <c r="D155" s="338" t="str">
        <f>IF(Team2!C20="","",Team2!C20)</f>
        <v xml:space="preserve">Erin McGuigan </v>
      </c>
      <c r="E155" s="339"/>
      <c r="F155" s="226">
        <v>24.18</v>
      </c>
      <c r="G155" s="227">
        <v>5</v>
      </c>
      <c r="H155" s="232">
        <f>IF(G155="","",IF(G155=6,1,IF(G155=5,2,IF(G155=4,3,IF(G155=3,4,IF(G155=2,5,6))))))</f>
        <v>2</v>
      </c>
      <c r="I155" s="297">
        <f>IF(SUM(H155:H156)=0,"",SUM(H155:H156))</f>
        <v>5</v>
      </c>
      <c r="J155" s="301"/>
      <c r="K155" s="301"/>
      <c r="L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  <c r="HA155" s="90"/>
      <c r="HB155" s="90"/>
      <c r="HC155" s="90"/>
      <c r="HD155" s="90"/>
      <c r="HE155" s="90"/>
      <c r="HF155" s="90"/>
      <c r="HG155" s="90"/>
      <c r="HH155" s="90"/>
      <c r="HI155" s="90"/>
      <c r="HJ155" s="90"/>
      <c r="HK155" s="90"/>
      <c r="HL155" s="90"/>
      <c r="HM155" s="90"/>
      <c r="HN155" s="90"/>
      <c r="HO155" s="90"/>
      <c r="HP155" s="90"/>
      <c r="HQ155" s="90"/>
      <c r="HR155" s="90"/>
      <c r="HS155" s="90"/>
      <c r="HT155" s="90"/>
      <c r="HU155" s="90"/>
      <c r="HV155" s="90"/>
      <c r="HW155" s="90"/>
      <c r="HX155" s="90"/>
      <c r="HY155" s="90"/>
      <c r="HZ155" s="90"/>
      <c r="IA155" s="90"/>
      <c r="IB155" s="90"/>
      <c r="IC155" s="90"/>
      <c r="ID155" s="90"/>
      <c r="IE155" s="90"/>
      <c r="IF155" s="90"/>
      <c r="IG155" s="90"/>
      <c r="IH155" s="90"/>
      <c r="II155" s="90"/>
      <c r="IJ155" s="90"/>
      <c r="IK155" s="90"/>
      <c r="IL155" s="90"/>
      <c r="IM155" s="90"/>
      <c r="IN155" s="90"/>
      <c r="IO155" s="90"/>
      <c r="IP155" s="90"/>
      <c r="IQ155" s="90"/>
      <c r="IR155" s="90"/>
      <c r="IS155" s="90"/>
      <c r="IT155" s="90"/>
    </row>
    <row r="156" spans="1:254" ht="12" customHeight="1" thickBot="1" x14ac:dyDescent="0.25">
      <c r="A156" s="71">
        <v>17</v>
      </c>
      <c r="B156" s="304"/>
      <c r="C156" s="72">
        <v>1</v>
      </c>
      <c r="D156" s="348" t="str">
        <f>IF(Team2!D20="","",Team2!D20)</f>
        <v xml:space="preserve">Sinead McQuillan </v>
      </c>
      <c r="E156" s="307"/>
      <c r="F156" s="228">
        <v>24.03</v>
      </c>
      <c r="G156" s="229">
        <v>4</v>
      </c>
      <c r="H156" s="233">
        <f t="shared" ref="H156:H160" si="23">IF(G156="","",IF(G156=6,1,IF(G156=5,2,IF(G156=4,3,IF(G156=3,4,IF(G156=2,5,6))))))</f>
        <v>3</v>
      </c>
      <c r="I156" s="298"/>
      <c r="J156" s="302"/>
      <c r="K156" s="302"/>
      <c r="L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  <c r="HA156" s="90"/>
      <c r="HB156" s="90"/>
      <c r="HC156" s="90"/>
      <c r="HD156" s="90"/>
      <c r="HE156" s="90"/>
      <c r="HF156" s="90"/>
      <c r="HG156" s="90"/>
      <c r="HH156" s="90"/>
      <c r="HI156" s="90"/>
      <c r="HJ156" s="90"/>
      <c r="HK156" s="90"/>
      <c r="HL156" s="90"/>
      <c r="HM156" s="90"/>
      <c r="HN156" s="90"/>
      <c r="HO156" s="90"/>
      <c r="HP156" s="90"/>
      <c r="HQ156" s="90"/>
      <c r="HR156" s="90"/>
      <c r="HS156" s="90"/>
      <c r="HT156" s="90"/>
      <c r="HU156" s="90"/>
      <c r="HV156" s="90"/>
      <c r="HW156" s="90"/>
      <c r="HX156" s="90"/>
      <c r="HY156" s="90"/>
      <c r="HZ156" s="90"/>
      <c r="IA156" s="90"/>
      <c r="IB156" s="90"/>
      <c r="IC156" s="90"/>
      <c r="ID156" s="90"/>
      <c r="IE156" s="90"/>
      <c r="IF156" s="90"/>
      <c r="IG156" s="90"/>
      <c r="IH156" s="90"/>
      <c r="II156" s="90"/>
      <c r="IJ156" s="90"/>
      <c r="IK156" s="90"/>
      <c r="IL156" s="90"/>
      <c r="IM156" s="90"/>
      <c r="IN156" s="90"/>
      <c r="IO156" s="90"/>
      <c r="IP156" s="90"/>
      <c r="IQ156" s="90"/>
      <c r="IR156" s="90"/>
      <c r="IS156" s="90"/>
      <c r="IT156" s="90"/>
    </row>
    <row r="157" spans="1:254" ht="12" customHeight="1" x14ac:dyDescent="0.2">
      <c r="A157" s="71" t="s">
        <v>27</v>
      </c>
      <c r="B157" s="305" t="str">
        <f>Team3!$C$4</f>
        <v>Limavady</v>
      </c>
      <c r="C157" s="72">
        <v>6</v>
      </c>
      <c r="D157" s="348" t="str">
        <f>IF(Team3!C20="","",Team3!C20)</f>
        <v>Brooke Mc Clamont</v>
      </c>
      <c r="E157" s="307"/>
      <c r="F157" s="228">
        <v>24.46</v>
      </c>
      <c r="G157" s="229">
        <v>6</v>
      </c>
      <c r="H157" s="233">
        <f t="shared" si="23"/>
        <v>1</v>
      </c>
      <c r="I157" s="301"/>
      <c r="J157" s="297">
        <f>IF(SUM(H157:H158)=0,"",SUM(H157:H158))</f>
        <v>7</v>
      </c>
      <c r="K157" s="301"/>
      <c r="L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  <c r="HA157" s="90"/>
      <c r="HB157" s="90"/>
      <c r="HC157" s="90"/>
      <c r="HD157" s="90"/>
      <c r="HE157" s="90"/>
      <c r="HF157" s="90"/>
      <c r="HG157" s="90"/>
      <c r="HH157" s="90"/>
      <c r="HI157" s="90"/>
      <c r="HJ157" s="90"/>
      <c r="HK157" s="90"/>
      <c r="HL157" s="90"/>
      <c r="HM157" s="90"/>
      <c r="HN157" s="90"/>
      <c r="HO157" s="90"/>
      <c r="HP157" s="90"/>
      <c r="HQ157" s="90"/>
      <c r="HR157" s="90"/>
      <c r="HS157" s="90"/>
      <c r="HT157" s="90"/>
      <c r="HU157" s="90"/>
      <c r="HV157" s="90"/>
      <c r="HW157" s="90"/>
      <c r="HX157" s="90"/>
      <c r="HY157" s="90"/>
      <c r="HZ157" s="90"/>
      <c r="IA157" s="90"/>
      <c r="IB157" s="90"/>
      <c r="IC157" s="90"/>
      <c r="ID157" s="90"/>
      <c r="IE157" s="90"/>
      <c r="IF157" s="90"/>
      <c r="IG157" s="90"/>
      <c r="IH157" s="90"/>
      <c r="II157" s="90"/>
      <c r="IJ157" s="90"/>
      <c r="IK157" s="90"/>
      <c r="IL157" s="90"/>
      <c r="IM157" s="90"/>
      <c r="IN157" s="90"/>
      <c r="IO157" s="90"/>
      <c r="IP157" s="90"/>
      <c r="IQ157" s="90"/>
      <c r="IR157" s="90"/>
      <c r="IS157" s="90"/>
      <c r="IT157" s="90"/>
    </row>
    <row r="158" spans="1:254" ht="12" customHeight="1" thickBot="1" x14ac:dyDescent="0.25">
      <c r="A158" s="71" t="s">
        <v>31</v>
      </c>
      <c r="B158" s="306"/>
      <c r="C158" s="72">
        <v>3</v>
      </c>
      <c r="D158" s="348" t="str">
        <f>IF(Team3!D20="","",Team3!D20)</f>
        <v>Ellie Lundy</v>
      </c>
      <c r="E158" s="307"/>
      <c r="F158" s="228">
        <v>21.56</v>
      </c>
      <c r="G158" s="229">
        <v>1</v>
      </c>
      <c r="H158" s="233">
        <f t="shared" si="23"/>
        <v>6</v>
      </c>
      <c r="I158" s="302"/>
      <c r="J158" s="298"/>
      <c r="K158" s="302"/>
      <c r="L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  <c r="HA158" s="90"/>
      <c r="HB158" s="90"/>
      <c r="HC158" s="90"/>
      <c r="HD158" s="90"/>
      <c r="HE158" s="90"/>
      <c r="HF158" s="90"/>
      <c r="HG158" s="90"/>
      <c r="HH158" s="90"/>
      <c r="HI158" s="90"/>
      <c r="HJ158" s="90"/>
      <c r="HK158" s="90"/>
      <c r="HL158" s="90"/>
      <c r="HM158" s="90"/>
      <c r="HN158" s="90"/>
      <c r="HO158" s="90"/>
      <c r="HP158" s="90"/>
      <c r="HQ158" s="90"/>
      <c r="HR158" s="90"/>
      <c r="HS158" s="90"/>
      <c r="HT158" s="90"/>
      <c r="HU158" s="90"/>
      <c r="HV158" s="90"/>
      <c r="HW158" s="90"/>
      <c r="HX158" s="90"/>
      <c r="HY158" s="90"/>
      <c r="HZ158" s="90"/>
      <c r="IA158" s="90"/>
      <c r="IB158" s="90"/>
      <c r="IC158" s="90"/>
      <c r="ID158" s="90"/>
      <c r="IE158" s="90"/>
      <c r="IF158" s="90"/>
      <c r="IG158" s="90"/>
      <c r="IH158" s="90"/>
      <c r="II158" s="90"/>
      <c r="IJ158" s="90"/>
      <c r="IK158" s="90"/>
      <c r="IL158" s="90"/>
      <c r="IM158" s="90"/>
      <c r="IN158" s="90"/>
      <c r="IO158" s="90"/>
      <c r="IP158" s="90"/>
      <c r="IQ158" s="90"/>
      <c r="IR158" s="90"/>
      <c r="IS158" s="90"/>
      <c r="IT158" s="90"/>
    </row>
    <row r="159" spans="1:254" ht="12.95" customHeight="1" x14ac:dyDescent="0.2">
      <c r="A159" s="71"/>
      <c r="B159" s="313" t="str">
        <f>Team1!$C$4</f>
        <v>Coleraine</v>
      </c>
      <c r="C159" s="174">
        <v>2</v>
      </c>
      <c r="D159" s="299" t="str">
        <f>IF(Team1!C20="","",Team1!C20)</f>
        <v>Riona Cassidy</v>
      </c>
      <c r="E159" s="307" t="str">
        <f>IF(Team1!D103="","",Team1!D103)</f>
        <v/>
      </c>
      <c r="F159" s="228">
        <v>22.82</v>
      </c>
      <c r="G159" s="229">
        <v>3</v>
      </c>
      <c r="H159" s="233">
        <f t="shared" si="23"/>
        <v>4</v>
      </c>
      <c r="I159" s="301"/>
      <c r="J159" s="301"/>
      <c r="K159" s="297">
        <f>IF(SUM(H159:H160)=0,"",SUM(H159:H160))</f>
        <v>9</v>
      </c>
      <c r="L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  <c r="HA159" s="90"/>
      <c r="HB159" s="90"/>
      <c r="HC159" s="90"/>
      <c r="HD159" s="90"/>
      <c r="HE159" s="90"/>
      <c r="HF159" s="90"/>
      <c r="HG159" s="90"/>
      <c r="HH159" s="90"/>
      <c r="HI159" s="90"/>
      <c r="HJ159" s="90"/>
      <c r="HK159" s="90"/>
      <c r="HL159" s="90"/>
      <c r="HM159" s="90"/>
      <c r="HN159" s="90"/>
      <c r="HO159" s="90"/>
      <c r="HP159" s="90"/>
      <c r="HQ159" s="90"/>
      <c r="HR159" s="90"/>
      <c r="HS159" s="90"/>
      <c r="HT159" s="90"/>
      <c r="HU159" s="90"/>
      <c r="HV159" s="90"/>
      <c r="HW159" s="90"/>
      <c r="HX159" s="90"/>
      <c r="HY159" s="90"/>
      <c r="HZ159" s="90"/>
      <c r="IA159" s="90"/>
      <c r="IB159" s="90"/>
      <c r="IC159" s="90"/>
      <c r="ID159" s="90"/>
      <c r="IE159" s="90"/>
      <c r="IF159" s="90"/>
      <c r="IG159" s="90"/>
      <c r="IH159" s="90"/>
      <c r="II159" s="90"/>
      <c r="IJ159" s="90"/>
      <c r="IK159" s="90"/>
      <c r="IL159" s="90"/>
      <c r="IM159" s="90"/>
      <c r="IN159" s="90"/>
      <c r="IO159" s="90"/>
      <c r="IP159" s="90"/>
      <c r="IQ159" s="90"/>
      <c r="IR159" s="90"/>
      <c r="IS159" s="90"/>
      <c r="IT159" s="90"/>
    </row>
    <row r="160" spans="1:254" ht="12.95" customHeight="1" thickBot="1" x14ac:dyDescent="0.25">
      <c r="A160" s="73"/>
      <c r="B160" s="304"/>
      <c r="C160" s="72">
        <v>5</v>
      </c>
      <c r="D160" s="299" t="str">
        <f>IF(Team1!D20="","",Team1!D20)</f>
        <v>Lily Jones</v>
      </c>
      <c r="E160" s="307" t="e">
        <f>IF(Team1!#REF!="","",Team1!#REF!)</f>
        <v>#REF!</v>
      </c>
      <c r="F160" s="228">
        <v>22.22</v>
      </c>
      <c r="G160" s="229">
        <v>2</v>
      </c>
      <c r="H160" s="233">
        <f t="shared" si="23"/>
        <v>5</v>
      </c>
      <c r="I160" s="302"/>
      <c r="J160" s="302"/>
      <c r="K160" s="298"/>
      <c r="L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  <c r="HA160" s="90"/>
      <c r="HB160" s="90"/>
      <c r="HC160" s="90"/>
      <c r="HD160" s="90"/>
      <c r="HE160" s="90"/>
      <c r="HF160" s="90"/>
      <c r="HG160" s="90"/>
      <c r="HH160" s="90"/>
      <c r="HI160" s="90"/>
      <c r="HJ160" s="90"/>
      <c r="HK160" s="90"/>
      <c r="HL160" s="90"/>
      <c r="HM160" s="90"/>
      <c r="HN160" s="90"/>
      <c r="HO160" s="90"/>
      <c r="HP160" s="90"/>
      <c r="HQ160" s="90"/>
      <c r="HR160" s="90"/>
      <c r="HS160" s="90"/>
      <c r="HT160" s="90"/>
      <c r="HU160" s="90"/>
      <c r="HV160" s="90"/>
      <c r="HW160" s="90"/>
      <c r="HX160" s="90"/>
      <c r="HY160" s="90"/>
      <c r="HZ160" s="90"/>
      <c r="IA160" s="90"/>
      <c r="IB160" s="90"/>
      <c r="IC160" s="90"/>
      <c r="ID160" s="90"/>
      <c r="IE160" s="90"/>
      <c r="IF160" s="90"/>
      <c r="IG160" s="90"/>
      <c r="IH160" s="90"/>
      <c r="II160" s="90"/>
      <c r="IJ160" s="90"/>
      <c r="IK160" s="90"/>
      <c r="IL160" s="90"/>
      <c r="IM160" s="90"/>
      <c r="IN160" s="90"/>
      <c r="IO160" s="90"/>
      <c r="IP160" s="90"/>
      <c r="IQ160" s="90"/>
      <c r="IR160" s="90"/>
      <c r="IS160" s="90"/>
      <c r="IT160" s="90"/>
    </row>
    <row r="161" spans="1:254" ht="12" customHeight="1" x14ac:dyDescent="0.2">
      <c r="A161" s="69"/>
      <c r="B161" s="303" t="str">
        <f>Team2!$C$4</f>
        <v>Lisburn</v>
      </c>
      <c r="C161" s="70">
        <v>4</v>
      </c>
      <c r="D161" s="338" t="str">
        <f>IF(Team2!G20="","",Team2!G20)</f>
        <v>Benjamin Bickerstaffe</v>
      </c>
      <c r="E161" s="339"/>
      <c r="F161" s="226">
        <v>21.04</v>
      </c>
      <c r="G161" s="227">
        <v>2</v>
      </c>
      <c r="H161" s="232">
        <f>IF(G161="","",IF(G161=6,1,IF(G161=5,2,IF(G161=4,3,IF(G161=3,4,IF(G161=2,5,6))))))</f>
        <v>5</v>
      </c>
      <c r="I161" s="297">
        <f>IF(SUM(H161:H162)=0,"",SUM(H161:H162))</f>
        <v>8</v>
      </c>
      <c r="J161" s="301"/>
      <c r="K161" s="301"/>
      <c r="L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  <c r="HA161" s="90"/>
      <c r="HB161" s="90"/>
      <c r="HC161" s="90"/>
      <c r="HD161" s="90"/>
      <c r="HE161" s="90"/>
      <c r="HF161" s="90"/>
      <c r="HG161" s="90"/>
      <c r="HH161" s="90"/>
      <c r="HI161" s="90"/>
      <c r="HJ161" s="90"/>
      <c r="HK161" s="90"/>
      <c r="HL161" s="90"/>
      <c r="HM161" s="90"/>
      <c r="HN161" s="90"/>
      <c r="HO161" s="90"/>
      <c r="HP161" s="90"/>
      <c r="HQ161" s="90"/>
      <c r="HR161" s="90"/>
      <c r="HS161" s="90"/>
      <c r="HT161" s="90"/>
      <c r="HU161" s="90"/>
      <c r="HV161" s="90"/>
      <c r="HW161" s="90"/>
      <c r="HX161" s="90"/>
      <c r="HY161" s="90"/>
      <c r="HZ161" s="90"/>
      <c r="IA161" s="90"/>
      <c r="IB161" s="90"/>
      <c r="IC161" s="90"/>
      <c r="ID161" s="90"/>
      <c r="IE161" s="90"/>
      <c r="IF161" s="90"/>
      <c r="IG161" s="90"/>
      <c r="IH161" s="90"/>
      <c r="II161" s="90"/>
      <c r="IJ161" s="90"/>
      <c r="IK161" s="90"/>
      <c r="IL161" s="90"/>
      <c r="IM161" s="90"/>
      <c r="IN161" s="90"/>
      <c r="IO161" s="90"/>
      <c r="IP161" s="90"/>
      <c r="IQ161" s="90"/>
      <c r="IR161" s="90"/>
      <c r="IS161" s="90"/>
      <c r="IT161" s="90"/>
    </row>
    <row r="162" spans="1:254" ht="12" customHeight="1" thickBot="1" x14ac:dyDescent="0.25">
      <c r="A162" s="71">
        <v>18</v>
      </c>
      <c r="B162" s="304"/>
      <c r="C162" s="72">
        <v>1</v>
      </c>
      <c r="D162" s="299" t="str">
        <f>IF(Team2!H20="","",Team2!H20)</f>
        <v>Cillan Hall</v>
      </c>
      <c r="E162" s="307"/>
      <c r="F162" s="228">
        <v>22.13</v>
      </c>
      <c r="G162" s="229">
        <v>4</v>
      </c>
      <c r="H162" s="233">
        <f t="shared" ref="H162:H166" si="24">IF(G162="","",IF(G162=6,1,IF(G162=5,2,IF(G162=4,3,IF(G162=3,4,IF(G162=2,5,6))))))</f>
        <v>3</v>
      </c>
      <c r="I162" s="298"/>
      <c r="J162" s="302"/>
      <c r="K162" s="302"/>
      <c r="L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  <c r="HA162" s="90"/>
      <c r="HB162" s="90"/>
      <c r="HC162" s="90"/>
      <c r="HD162" s="90"/>
      <c r="HE162" s="90"/>
      <c r="HF162" s="90"/>
      <c r="HG162" s="90"/>
      <c r="HH162" s="90"/>
      <c r="HI162" s="90"/>
      <c r="HJ162" s="90"/>
      <c r="HK162" s="90"/>
      <c r="HL162" s="90"/>
      <c r="HM162" s="90"/>
      <c r="HN162" s="90"/>
      <c r="HO162" s="90"/>
      <c r="HP162" s="90"/>
      <c r="HQ162" s="90"/>
      <c r="HR162" s="90"/>
      <c r="HS162" s="90"/>
      <c r="HT162" s="90"/>
      <c r="HU162" s="90"/>
      <c r="HV162" s="90"/>
      <c r="HW162" s="90"/>
      <c r="HX162" s="90"/>
      <c r="HY162" s="90"/>
      <c r="HZ162" s="90"/>
      <c r="IA162" s="90"/>
      <c r="IB162" s="90"/>
      <c r="IC162" s="90"/>
      <c r="ID162" s="90"/>
      <c r="IE162" s="90"/>
      <c r="IF162" s="90"/>
      <c r="IG162" s="90"/>
      <c r="IH162" s="90"/>
      <c r="II162" s="90"/>
      <c r="IJ162" s="90"/>
      <c r="IK162" s="90"/>
      <c r="IL162" s="90"/>
      <c r="IM162" s="90"/>
      <c r="IN162" s="90"/>
      <c r="IO162" s="90"/>
      <c r="IP162" s="90"/>
      <c r="IQ162" s="90"/>
      <c r="IR162" s="90"/>
      <c r="IS162" s="90"/>
      <c r="IT162" s="90"/>
    </row>
    <row r="163" spans="1:254" ht="12.95" customHeight="1" x14ac:dyDescent="0.2">
      <c r="A163" s="71" t="s">
        <v>27</v>
      </c>
      <c r="B163" s="305" t="str">
        <f>Team3!$C$4</f>
        <v>Limavady</v>
      </c>
      <c r="C163" s="72">
        <v>3</v>
      </c>
      <c r="D163" s="348" t="str">
        <f>IF(Team3!G20="","",Team3!G20)</f>
        <v>Cailean Gallagher</v>
      </c>
      <c r="E163" s="307"/>
      <c r="F163" s="228">
        <v>20.94</v>
      </c>
      <c r="G163" s="229">
        <v>1</v>
      </c>
      <c r="H163" s="233">
        <f t="shared" si="24"/>
        <v>6</v>
      </c>
      <c r="I163" s="301"/>
      <c r="J163" s="297">
        <f>IF(SUM(H163:H164)=0,"",SUM(H163:H164))</f>
        <v>8</v>
      </c>
      <c r="K163" s="301"/>
      <c r="L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  <c r="HA163" s="90"/>
      <c r="HB163" s="90"/>
      <c r="HC163" s="90"/>
      <c r="HD163" s="90"/>
      <c r="HE163" s="90"/>
      <c r="HF163" s="90"/>
      <c r="HG163" s="90"/>
      <c r="HH163" s="90"/>
      <c r="HI163" s="90"/>
      <c r="HJ163" s="90"/>
      <c r="HK163" s="90"/>
      <c r="HL163" s="90"/>
      <c r="HM163" s="90"/>
      <c r="HN163" s="90"/>
      <c r="HO163" s="90"/>
      <c r="HP163" s="90"/>
      <c r="HQ163" s="90"/>
      <c r="HR163" s="90"/>
      <c r="HS163" s="90"/>
      <c r="HT163" s="90"/>
      <c r="HU163" s="90"/>
      <c r="HV163" s="90"/>
      <c r="HW163" s="90"/>
      <c r="HX163" s="90"/>
      <c r="HY163" s="90"/>
      <c r="HZ163" s="90"/>
      <c r="IA163" s="90"/>
      <c r="IB163" s="90"/>
      <c r="IC163" s="90"/>
      <c r="ID163" s="90"/>
      <c r="IE163" s="90"/>
      <c r="IF163" s="90"/>
      <c r="IG163" s="90"/>
      <c r="IH163" s="90"/>
      <c r="II163" s="90"/>
      <c r="IJ163" s="90"/>
      <c r="IK163" s="90"/>
      <c r="IL163" s="90"/>
      <c r="IM163" s="90"/>
      <c r="IN163" s="90"/>
      <c r="IO163" s="90"/>
      <c r="IP163" s="90"/>
      <c r="IQ163" s="90"/>
      <c r="IR163" s="90"/>
      <c r="IS163" s="90"/>
      <c r="IT163" s="90"/>
    </row>
    <row r="164" spans="1:254" ht="12.95" customHeight="1" thickBot="1" x14ac:dyDescent="0.25">
      <c r="A164" s="71" t="s">
        <v>32</v>
      </c>
      <c r="B164" s="306"/>
      <c r="C164" s="72">
        <v>6</v>
      </c>
      <c r="D164" s="348" t="str">
        <f>IF(Team3!H20="","",Team3!H20)</f>
        <v>Alexander Blaha</v>
      </c>
      <c r="E164" s="307"/>
      <c r="F164" s="228">
        <v>23.12</v>
      </c>
      <c r="G164" s="229">
        <v>5</v>
      </c>
      <c r="H164" s="233">
        <f t="shared" si="24"/>
        <v>2</v>
      </c>
      <c r="I164" s="302"/>
      <c r="J164" s="298"/>
      <c r="K164" s="302"/>
      <c r="L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  <c r="HA164" s="90"/>
      <c r="HB164" s="90"/>
      <c r="HC164" s="90"/>
      <c r="HD164" s="90"/>
      <c r="HE164" s="90"/>
      <c r="HF164" s="90"/>
      <c r="HG164" s="90"/>
      <c r="HH164" s="90"/>
      <c r="HI164" s="90"/>
      <c r="HJ164" s="90"/>
      <c r="HK164" s="90"/>
      <c r="HL164" s="90"/>
      <c r="HM164" s="90"/>
      <c r="HN164" s="90"/>
      <c r="HO164" s="90"/>
      <c r="HP164" s="90"/>
      <c r="HQ164" s="90"/>
      <c r="HR164" s="90"/>
      <c r="HS164" s="90"/>
      <c r="HT164" s="90"/>
      <c r="HU164" s="90"/>
      <c r="HV164" s="90"/>
      <c r="HW164" s="90"/>
      <c r="HX164" s="90"/>
      <c r="HY164" s="90"/>
      <c r="HZ164" s="90"/>
      <c r="IA164" s="90"/>
      <c r="IB164" s="90"/>
      <c r="IC164" s="90"/>
      <c r="ID164" s="90"/>
      <c r="IE164" s="90"/>
      <c r="IF164" s="90"/>
      <c r="IG164" s="90"/>
      <c r="IH164" s="90"/>
      <c r="II164" s="90"/>
      <c r="IJ164" s="90"/>
      <c r="IK164" s="90"/>
      <c r="IL164" s="90"/>
      <c r="IM164" s="90"/>
      <c r="IN164" s="90"/>
      <c r="IO164" s="90"/>
      <c r="IP164" s="90"/>
      <c r="IQ164" s="90"/>
      <c r="IR164" s="90"/>
      <c r="IS164" s="90"/>
      <c r="IT164" s="90"/>
    </row>
    <row r="165" spans="1:254" ht="12" customHeight="1" x14ac:dyDescent="0.2">
      <c r="A165" s="196"/>
      <c r="B165" s="313" t="str">
        <f>Team1!$C$4</f>
        <v>Coleraine</v>
      </c>
      <c r="C165" s="174">
        <v>2</v>
      </c>
      <c r="D165" s="348" t="str">
        <f>IF(Team1!G20="","",Team1!G20)</f>
        <v>Kioni Little</v>
      </c>
      <c r="E165" s="349"/>
      <c r="F165" s="228">
        <v>23.35</v>
      </c>
      <c r="G165" s="229">
        <v>6</v>
      </c>
      <c r="H165" s="233">
        <f t="shared" si="24"/>
        <v>1</v>
      </c>
      <c r="I165" s="301"/>
      <c r="J165" s="301"/>
      <c r="K165" s="297">
        <f>IF(SUM(H165:H166)=0,"",SUM(H165:H166))</f>
        <v>5</v>
      </c>
      <c r="L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  <c r="HA165" s="90"/>
      <c r="HB165" s="90"/>
      <c r="HC165" s="90"/>
      <c r="HD165" s="90"/>
      <c r="HE165" s="90"/>
      <c r="HF165" s="90"/>
      <c r="HG165" s="90"/>
      <c r="HH165" s="90"/>
      <c r="HI165" s="90"/>
      <c r="HJ165" s="90"/>
      <c r="HK165" s="90"/>
      <c r="HL165" s="90"/>
      <c r="HM165" s="90"/>
      <c r="HN165" s="90"/>
      <c r="HO165" s="90"/>
      <c r="HP165" s="90"/>
      <c r="HQ165" s="90"/>
      <c r="HR165" s="90"/>
      <c r="HS165" s="90"/>
      <c r="HT165" s="90"/>
      <c r="HU165" s="90"/>
      <c r="HV165" s="90"/>
      <c r="HW165" s="90"/>
      <c r="HX165" s="90"/>
      <c r="HY165" s="90"/>
      <c r="HZ165" s="90"/>
      <c r="IA165" s="90"/>
      <c r="IB165" s="90"/>
      <c r="IC165" s="90"/>
      <c r="ID165" s="90"/>
      <c r="IE165" s="90"/>
      <c r="IF165" s="90"/>
      <c r="IG165" s="90"/>
      <c r="IH165" s="90"/>
      <c r="II165" s="90"/>
      <c r="IJ165" s="90"/>
      <c r="IK165" s="90"/>
      <c r="IL165" s="90"/>
      <c r="IM165" s="90"/>
      <c r="IN165" s="90"/>
      <c r="IO165" s="90"/>
      <c r="IP165" s="90"/>
      <c r="IQ165" s="90"/>
      <c r="IR165" s="90"/>
      <c r="IS165" s="90"/>
      <c r="IT165" s="90"/>
    </row>
    <row r="166" spans="1:254" ht="12" customHeight="1" thickBot="1" x14ac:dyDescent="0.25">
      <c r="A166" s="73"/>
      <c r="B166" s="304"/>
      <c r="C166" s="72">
        <v>5</v>
      </c>
      <c r="D166" s="348" t="str">
        <f>IF(Team1!H20="","",Team1!H20)</f>
        <v>Daniel Eakin</v>
      </c>
      <c r="E166" s="349"/>
      <c r="F166" s="228">
        <v>21.64</v>
      </c>
      <c r="G166" s="229">
        <v>3</v>
      </c>
      <c r="H166" s="233">
        <f t="shared" si="24"/>
        <v>4</v>
      </c>
      <c r="I166" s="302"/>
      <c r="J166" s="302"/>
      <c r="K166" s="298"/>
      <c r="L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  <c r="HA166" s="90"/>
      <c r="HB166" s="90"/>
      <c r="HC166" s="90"/>
      <c r="HD166" s="90"/>
      <c r="HE166" s="90"/>
      <c r="HF166" s="90"/>
      <c r="HG166" s="90"/>
      <c r="HH166" s="90"/>
      <c r="HI166" s="90"/>
      <c r="HJ166" s="90"/>
      <c r="HK166" s="90"/>
      <c r="HL166" s="90"/>
      <c r="HM166" s="90"/>
      <c r="HN166" s="90"/>
      <c r="HO166" s="90"/>
      <c r="HP166" s="90"/>
      <c r="HQ166" s="90"/>
      <c r="HR166" s="90"/>
      <c r="HS166" s="90"/>
      <c r="HT166" s="90"/>
      <c r="HU166" s="90"/>
      <c r="HV166" s="90"/>
      <c r="HW166" s="90"/>
      <c r="HX166" s="90"/>
      <c r="HY166" s="90"/>
      <c r="HZ166" s="90"/>
      <c r="IA166" s="90"/>
      <c r="IB166" s="90"/>
      <c r="IC166" s="90"/>
      <c r="ID166" s="90"/>
      <c r="IE166" s="90"/>
      <c r="IF166" s="90"/>
      <c r="IG166" s="90"/>
      <c r="IH166" s="90"/>
      <c r="II166" s="90"/>
      <c r="IJ166" s="90"/>
      <c r="IK166" s="90"/>
      <c r="IL166" s="90"/>
      <c r="IM166" s="90"/>
      <c r="IN166" s="90"/>
      <c r="IO166" s="90"/>
      <c r="IP166" s="90"/>
      <c r="IQ166" s="90"/>
      <c r="IR166" s="90"/>
      <c r="IS166" s="90"/>
      <c r="IT166" s="90"/>
    </row>
    <row r="167" spans="1:254" ht="12" customHeight="1" x14ac:dyDescent="0.2">
      <c r="A167" s="69"/>
      <c r="B167" s="303" t="str">
        <f>Team2!$C$4</f>
        <v>Lisburn</v>
      </c>
      <c r="C167" s="70">
        <v>4</v>
      </c>
      <c r="D167" s="338" t="str">
        <f>IF(Team2!C21="","",Team2!C21)</f>
        <v>Chrissy Hopkins</v>
      </c>
      <c r="E167" s="339"/>
      <c r="F167" s="226">
        <v>18.73</v>
      </c>
      <c r="G167" s="227">
        <v>1</v>
      </c>
      <c r="H167" s="232">
        <f>IF(G167="","",IF(G167=6,1,IF(G167=5,2,IF(G167=4,3,IF(G167=3,4,IF(G167=2,5,6))))))</f>
        <v>6</v>
      </c>
      <c r="I167" s="297">
        <f>IF(SUM(H167:H168)=0,"",SUM(H167:H168))</f>
        <v>10</v>
      </c>
      <c r="J167" s="301"/>
      <c r="K167" s="301"/>
      <c r="L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  <c r="HA167" s="90"/>
      <c r="HB167" s="90"/>
      <c r="HC167" s="90"/>
      <c r="HD167" s="90"/>
      <c r="HE167" s="90"/>
      <c r="HF167" s="90"/>
      <c r="HG167" s="90"/>
      <c r="HH167" s="90"/>
      <c r="HI167" s="90"/>
      <c r="HJ167" s="90"/>
      <c r="HK167" s="90"/>
      <c r="HL167" s="90"/>
      <c r="HM167" s="90"/>
      <c r="HN167" s="90"/>
      <c r="HO167" s="90"/>
      <c r="HP167" s="90"/>
      <c r="HQ167" s="90"/>
      <c r="HR167" s="90"/>
      <c r="HS167" s="90"/>
      <c r="HT167" s="90"/>
      <c r="HU167" s="90"/>
      <c r="HV167" s="90"/>
      <c r="HW167" s="90"/>
      <c r="HX167" s="90"/>
      <c r="HY167" s="90"/>
      <c r="HZ167" s="90"/>
      <c r="IA167" s="90"/>
      <c r="IB167" s="90"/>
      <c r="IC167" s="90"/>
      <c r="ID167" s="90"/>
      <c r="IE167" s="90"/>
      <c r="IF167" s="90"/>
      <c r="IG167" s="90"/>
      <c r="IH167" s="90"/>
      <c r="II167" s="90"/>
      <c r="IJ167" s="90"/>
      <c r="IK167" s="90"/>
      <c r="IL167" s="90"/>
      <c r="IM167" s="90"/>
      <c r="IN167" s="90"/>
      <c r="IO167" s="90"/>
      <c r="IP167" s="90"/>
      <c r="IQ167" s="90"/>
      <c r="IR167" s="90"/>
      <c r="IS167" s="90"/>
      <c r="IT167" s="90"/>
    </row>
    <row r="168" spans="1:254" ht="12" customHeight="1" thickBot="1" x14ac:dyDescent="0.25">
      <c r="A168" s="71">
        <v>19</v>
      </c>
      <c r="B168" s="304"/>
      <c r="C168" s="72">
        <v>1</v>
      </c>
      <c r="D168" s="299" t="str">
        <f>IF(Team2!D21="","",Team2!D21)</f>
        <v>Annie Poots</v>
      </c>
      <c r="E168" s="307"/>
      <c r="F168" s="228">
        <v>21</v>
      </c>
      <c r="G168" s="229">
        <v>3</v>
      </c>
      <c r="H168" s="233">
        <f t="shared" ref="H168:H172" si="25">IF(G168="","",IF(G168=6,1,IF(G168=5,2,IF(G168=4,3,IF(G168=3,4,IF(G168=2,5,6))))))</f>
        <v>4</v>
      </c>
      <c r="I168" s="298"/>
      <c r="J168" s="302"/>
      <c r="K168" s="302"/>
      <c r="L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  <c r="HA168" s="90"/>
      <c r="HB168" s="90"/>
      <c r="HC168" s="90"/>
      <c r="HD168" s="90"/>
      <c r="HE168" s="90"/>
      <c r="HF168" s="90"/>
      <c r="HG168" s="90"/>
      <c r="HH168" s="90"/>
      <c r="HI168" s="90"/>
      <c r="HJ168" s="90"/>
      <c r="HK168" s="90"/>
      <c r="HL168" s="90"/>
      <c r="HM168" s="90"/>
      <c r="HN168" s="90"/>
      <c r="HO168" s="90"/>
      <c r="HP168" s="90"/>
      <c r="HQ168" s="90"/>
      <c r="HR168" s="90"/>
      <c r="HS168" s="90"/>
      <c r="HT168" s="90"/>
      <c r="HU168" s="90"/>
      <c r="HV168" s="90"/>
      <c r="HW168" s="90"/>
      <c r="HX168" s="90"/>
      <c r="HY168" s="90"/>
      <c r="HZ168" s="90"/>
      <c r="IA168" s="90"/>
      <c r="IB168" s="90"/>
      <c r="IC168" s="90"/>
      <c r="ID168" s="90"/>
      <c r="IE168" s="90"/>
      <c r="IF168" s="90"/>
      <c r="IG168" s="90"/>
      <c r="IH168" s="90"/>
      <c r="II168" s="90"/>
      <c r="IJ168" s="90"/>
      <c r="IK168" s="90"/>
      <c r="IL168" s="90"/>
      <c r="IM168" s="90"/>
      <c r="IN168" s="90"/>
      <c r="IO168" s="90"/>
      <c r="IP168" s="90"/>
      <c r="IQ168" s="90"/>
      <c r="IR168" s="90"/>
      <c r="IS168" s="90"/>
      <c r="IT168" s="90"/>
    </row>
    <row r="169" spans="1:254" ht="12.95" customHeight="1" x14ac:dyDescent="0.2">
      <c r="A169" s="71" t="s">
        <v>28</v>
      </c>
      <c r="B169" s="305" t="str">
        <f>Team3!$C$4</f>
        <v>Limavady</v>
      </c>
      <c r="C169" s="72">
        <v>3</v>
      </c>
      <c r="D169" s="299" t="str">
        <f>IF(Team3!C21="","",Team3!C21)</f>
        <v>Niamh Mc Henry</v>
      </c>
      <c r="E169" s="307"/>
      <c r="F169" s="228">
        <v>21.7</v>
      </c>
      <c r="G169" s="229">
        <v>4</v>
      </c>
      <c r="H169" s="233">
        <f t="shared" si="25"/>
        <v>3</v>
      </c>
      <c r="I169" s="301"/>
      <c r="J169" s="297">
        <f>IF(SUM(H169:H170)=0,"",SUM(H169:H170))</f>
        <v>4</v>
      </c>
      <c r="K169" s="301"/>
      <c r="L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  <c r="HA169" s="90"/>
      <c r="HB169" s="90"/>
      <c r="HC169" s="90"/>
      <c r="HD169" s="90"/>
      <c r="HE169" s="90"/>
      <c r="HF169" s="90"/>
      <c r="HG169" s="90"/>
      <c r="HH169" s="90"/>
      <c r="HI169" s="90"/>
      <c r="HJ169" s="90"/>
      <c r="HK169" s="90"/>
      <c r="HL169" s="90"/>
      <c r="HM169" s="90"/>
      <c r="HN169" s="90"/>
      <c r="HO169" s="90"/>
      <c r="HP169" s="90"/>
      <c r="HQ169" s="90"/>
      <c r="HR169" s="90"/>
      <c r="HS169" s="90"/>
      <c r="HT169" s="90"/>
      <c r="HU169" s="90"/>
      <c r="HV169" s="90"/>
      <c r="HW169" s="90"/>
      <c r="HX169" s="90"/>
      <c r="HY169" s="90"/>
      <c r="HZ169" s="90"/>
      <c r="IA169" s="90"/>
      <c r="IB169" s="90"/>
      <c r="IC169" s="90"/>
      <c r="ID169" s="90"/>
      <c r="IE169" s="90"/>
      <c r="IF169" s="90"/>
      <c r="IG169" s="90"/>
      <c r="IH169" s="90"/>
      <c r="II169" s="90"/>
      <c r="IJ169" s="90"/>
      <c r="IK169" s="90"/>
      <c r="IL169" s="90"/>
      <c r="IM169" s="90"/>
      <c r="IN169" s="90"/>
      <c r="IO169" s="90"/>
      <c r="IP169" s="90"/>
      <c r="IQ169" s="90"/>
      <c r="IR169" s="90"/>
      <c r="IS169" s="90"/>
      <c r="IT169" s="90"/>
    </row>
    <row r="170" spans="1:254" ht="12.95" customHeight="1" thickBot="1" x14ac:dyDescent="0.25">
      <c r="A170" s="71" t="s">
        <v>31</v>
      </c>
      <c r="B170" s="306"/>
      <c r="C170" s="72">
        <v>6</v>
      </c>
      <c r="D170" s="299" t="str">
        <f>IF(Team3!D21="","",Team3!D21)</f>
        <v>Rose Mc Laughlin</v>
      </c>
      <c r="E170" s="307"/>
      <c r="F170" s="228">
        <v>22.75</v>
      </c>
      <c r="G170" s="229">
        <v>6</v>
      </c>
      <c r="H170" s="233">
        <f t="shared" si="25"/>
        <v>1</v>
      </c>
      <c r="I170" s="302"/>
      <c r="J170" s="298"/>
      <c r="K170" s="302"/>
      <c r="L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  <c r="HA170" s="90"/>
      <c r="HB170" s="90"/>
      <c r="HC170" s="90"/>
      <c r="HD170" s="90"/>
      <c r="HE170" s="90"/>
      <c r="HF170" s="90"/>
      <c r="HG170" s="90"/>
      <c r="HH170" s="90"/>
      <c r="HI170" s="90"/>
      <c r="HJ170" s="90"/>
      <c r="HK170" s="90"/>
      <c r="HL170" s="90"/>
      <c r="HM170" s="90"/>
      <c r="HN170" s="90"/>
      <c r="HO170" s="90"/>
      <c r="HP170" s="90"/>
      <c r="HQ170" s="90"/>
      <c r="HR170" s="90"/>
      <c r="HS170" s="90"/>
      <c r="HT170" s="90"/>
      <c r="HU170" s="90"/>
      <c r="HV170" s="90"/>
      <c r="HW170" s="90"/>
      <c r="HX170" s="90"/>
      <c r="HY170" s="90"/>
      <c r="HZ170" s="90"/>
      <c r="IA170" s="90"/>
      <c r="IB170" s="90"/>
      <c r="IC170" s="90"/>
      <c r="ID170" s="90"/>
      <c r="IE170" s="90"/>
      <c r="IF170" s="90"/>
      <c r="IG170" s="90"/>
      <c r="IH170" s="90"/>
      <c r="II170" s="90"/>
      <c r="IJ170" s="90"/>
      <c r="IK170" s="90"/>
      <c r="IL170" s="90"/>
      <c r="IM170" s="90"/>
      <c r="IN170" s="90"/>
      <c r="IO170" s="90"/>
      <c r="IP170" s="90"/>
      <c r="IQ170" s="90"/>
      <c r="IR170" s="90"/>
      <c r="IS170" s="90"/>
      <c r="IT170" s="90"/>
    </row>
    <row r="171" spans="1:254" ht="12" customHeight="1" x14ac:dyDescent="0.2">
      <c r="A171" s="196"/>
      <c r="B171" s="313" t="str">
        <f>Team1!$C$4</f>
        <v>Coleraine</v>
      </c>
      <c r="C171" s="174">
        <v>2</v>
      </c>
      <c r="D171" s="299" t="str">
        <f>IF(Team1!C21="","",Team1!C21)</f>
        <v>Mairi Clements</v>
      </c>
      <c r="E171" s="307"/>
      <c r="F171" s="228">
        <v>20.91</v>
      </c>
      <c r="G171" s="229">
        <v>2</v>
      </c>
      <c r="H171" s="233">
        <f t="shared" si="25"/>
        <v>5</v>
      </c>
      <c r="I171" s="301"/>
      <c r="J171" s="301"/>
      <c r="K171" s="297">
        <f>IF(SUM(H171:H172)=0,"",SUM(H171:H172))</f>
        <v>7</v>
      </c>
      <c r="L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  <c r="HA171" s="90"/>
      <c r="HB171" s="90"/>
      <c r="HC171" s="90"/>
      <c r="HD171" s="90"/>
      <c r="HE171" s="90"/>
      <c r="HF171" s="90"/>
      <c r="HG171" s="90"/>
      <c r="HH171" s="90"/>
      <c r="HI171" s="90"/>
      <c r="HJ171" s="90"/>
      <c r="HK171" s="90"/>
      <c r="HL171" s="90"/>
      <c r="HM171" s="90"/>
      <c r="HN171" s="90"/>
      <c r="HO171" s="90"/>
      <c r="HP171" s="90"/>
      <c r="HQ171" s="90"/>
      <c r="HR171" s="90"/>
      <c r="HS171" s="90"/>
      <c r="HT171" s="90"/>
      <c r="HU171" s="90"/>
      <c r="HV171" s="90"/>
      <c r="HW171" s="90"/>
      <c r="HX171" s="90"/>
      <c r="HY171" s="90"/>
      <c r="HZ171" s="90"/>
      <c r="IA171" s="90"/>
      <c r="IB171" s="90"/>
      <c r="IC171" s="90"/>
      <c r="ID171" s="90"/>
      <c r="IE171" s="90"/>
      <c r="IF171" s="90"/>
      <c r="IG171" s="90"/>
      <c r="IH171" s="90"/>
      <c r="II171" s="90"/>
      <c r="IJ171" s="90"/>
      <c r="IK171" s="90"/>
      <c r="IL171" s="90"/>
      <c r="IM171" s="90"/>
      <c r="IN171" s="90"/>
      <c r="IO171" s="90"/>
      <c r="IP171" s="90"/>
      <c r="IQ171" s="90"/>
      <c r="IR171" s="90"/>
      <c r="IS171" s="90"/>
      <c r="IT171" s="90"/>
    </row>
    <row r="172" spans="1:254" ht="12" customHeight="1" thickBot="1" x14ac:dyDescent="0.25">
      <c r="A172" s="73"/>
      <c r="B172" s="304"/>
      <c r="C172" s="72">
        <v>5</v>
      </c>
      <c r="D172" s="299" t="str">
        <f>IF(Team1!D21="","",Team1!D21)</f>
        <v>Lauren Murray</v>
      </c>
      <c r="E172" s="307"/>
      <c r="F172" s="228">
        <v>21.7</v>
      </c>
      <c r="G172" s="229">
        <v>5</v>
      </c>
      <c r="H172" s="233">
        <f t="shared" si="25"/>
        <v>2</v>
      </c>
      <c r="I172" s="302"/>
      <c r="J172" s="302"/>
      <c r="K172" s="298"/>
      <c r="L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  <c r="HA172" s="90"/>
      <c r="HB172" s="90"/>
      <c r="HC172" s="90"/>
      <c r="HD172" s="90"/>
      <c r="HE172" s="90"/>
      <c r="HF172" s="90"/>
      <c r="HG172" s="90"/>
      <c r="HH172" s="90"/>
      <c r="HI172" s="90"/>
      <c r="HJ172" s="90"/>
      <c r="HK172" s="90"/>
      <c r="HL172" s="90"/>
      <c r="HM172" s="90"/>
      <c r="HN172" s="90"/>
      <c r="HO172" s="90"/>
      <c r="HP172" s="90"/>
      <c r="HQ172" s="90"/>
      <c r="HR172" s="90"/>
      <c r="HS172" s="90"/>
      <c r="HT172" s="90"/>
      <c r="HU172" s="90"/>
      <c r="HV172" s="90"/>
      <c r="HW172" s="90"/>
      <c r="HX172" s="90"/>
      <c r="HY172" s="90"/>
      <c r="HZ172" s="90"/>
      <c r="IA172" s="90"/>
      <c r="IB172" s="90"/>
      <c r="IC172" s="90"/>
      <c r="ID172" s="90"/>
      <c r="IE172" s="90"/>
      <c r="IF172" s="90"/>
      <c r="IG172" s="90"/>
      <c r="IH172" s="90"/>
      <c r="II172" s="90"/>
      <c r="IJ172" s="90"/>
      <c r="IK172" s="90"/>
      <c r="IL172" s="90"/>
      <c r="IM172" s="90"/>
      <c r="IN172" s="90"/>
      <c r="IO172" s="90"/>
      <c r="IP172" s="90"/>
      <c r="IQ172" s="90"/>
      <c r="IR172" s="90"/>
      <c r="IS172" s="90"/>
      <c r="IT172" s="90"/>
    </row>
    <row r="173" spans="1:254" ht="12" customHeight="1" x14ac:dyDescent="0.2">
      <c r="A173" s="69"/>
      <c r="B173" s="303" t="str">
        <f>Team2!$C$4</f>
        <v>Lisburn</v>
      </c>
      <c r="C173" s="70">
        <v>4</v>
      </c>
      <c r="D173" s="338" t="str">
        <f>IF(Team2!G21="","",Team2!G21)</f>
        <v>Tom Keys</v>
      </c>
      <c r="E173" s="339"/>
      <c r="F173" s="226">
        <v>19.98</v>
      </c>
      <c r="G173" s="227">
        <v>1</v>
      </c>
      <c r="H173" s="232">
        <f>IF(G173="","",IF(G173=6,1,IF(G173=5,2,IF(G173=4,3,IF(G173=3,4,IF(G173=2,5,6))))))</f>
        <v>6</v>
      </c>
      <c r="I173" s="297">
        <f>IF(SUM(H173:H174)=0,"",SUM(H173:H174))</f>
        <v>11</v>
      </c>
      <c r="J173" s="301"/>
      <c r="K173" s="301"/>
      <c r="L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  <c r="HA173" s="90"/>
      <c r="HB173" s="90"/>
      <c r="HC173" s="90"/>
      <c r="HD173" s="90"/>
      <c r="HE173" s="90"/>
      <c r="HF173" s="90"/>
      <c r="HG173" s="90"/>
      <c r="HH173" s="90"/>
      <c r="HI173" s="90"/>
      <c r="HJ173" s="90"/>
      <c r="HK173" s="90"/>
      <c r="HL173" s="90"/>
      <c r="HM173" s="90"/>
      <c r="HN173" s="90"/>
      <c r="HO173" s="90"/>
      <c r="HP173" s="90"/>
      <c r="HQ173" s="90"/>
      <c r="HR173" s="90"/>
      <c r="HS173" s="90"/>
      <c r="HT173" s="90"/>
      <c r="HU173" s="90"/>
      <c r="HV173" s="90"/>
      <c r="HW173" s="90"/>
      <c r="HX173" s="90"/>
      <c r="HY173" s="90"/>
      <c r="HZ173" s="90"/>
      <c r="IA173" s="90"/>
      <c r="IB173" s="90"/>
      <c r="IC173" s="90"/>
      <c r="ID173" s="90"/>
      <c r="IE173" s="90"/>
      <c r="IF173" s="90"/>
      <c r="IG173" s="90"/>
      <c r="IH173" s="90"/>
      <c r="II173" s="90"/>
      <c r="IJ173" s="90"/>
      <c r="IK173" s="90"/>
      <c r="IL173" s="90"/>
      <c r="IM173" s="90"/>
      <c r="IN173" s="90"/>
      <c r="IO173" s="90"/>
      <c r="IP173" s="90"/>
      <c r="IQ173" s="90"/>
      <c r="IR173" s="90"/>
      <c r="IS173" s="90"/>
      <c r="IT173" s="90"/>
    </row>
    <row r="174" spans="1:254" ht="12" customHeight="1" thickBot="1" x14ac:dyDescent="0.25">
      <c r="A174" s="71">
        <v>20</v>
      </c>
      <c r="B174" s="304"/>
      <c r="C174" s="72">
        <v>1</v>
      </c>
      <c r="D174" s="299" t="str">
        <f>IF(Team2!H21="","",Team2!H21)</f>
        <v>Alfie Shawe</v>
      </c>
      <c r="E174" s="307"/>
      <c r="F174" s="228">
        <v>20.309999999999999</v>
      </c>
      <c r="G174" s="229">
        <v>2</v>
      </c>
      <c r="H174" s="233">
        <f t="shared" ref="H174:H178" si="26">IF(G174="","",IF(G174=6,1,IF(G174=5,2,IF(G174=4,3,IF(G174=3,4,IF(G174=2,5,6))))))</f>
        <v>5</v>
      </c>
      <c r="I174" s="298"/>
      <c r="J174" s="302"/>
      <c r="K174" s="302"/>
      <c r="L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  <c r="HA174" s="90"/>
      <c r="HB174" s="90"/>
      <c r="HC174" s="90"/>
      <c r="HD174" s="90"/>
      <c r="HE174" s="90"/>
      <c r="HF174" s="90"/>
      <c r="HG174" s="90"/>
      <c r="HH174" s="90"/>
      <c r="HI174" s="90"/>
      <c r="HJ174" s="90"/>
      <c r="HK174" s="90"/>
      <c r="HL174" s="90"/>
      <c r="HM174" s="90"/>
      <c r="HN174" s="90"/>
      <c r="HO174" s="90"/>
      <c r="HP174" s="90"/>
      <c r="HQ174" s="90"/>
      <c r="HR174" s="90"/>
      <c r="HS174" s="90"/>
      <c r="HT174" s="90"/>
      <c r="HU174" s="90"/>
      <c r="HV174" s="90"/>
      <c r="HW174" s="90"/>
      <c r="HX174" s="90"/>
      <c r="HY174" s="90"/>
      <c r="HZ174" s="90"/>
      <c r="IA174" s="90"/>
      <c r="IB174" s="90"/>
      <c r="IC174" s="90"/>
      <c r="ID174" s="90"/>
      <c r="IE174" s="90"/>
      <c r="IF174" s="90"/>
      <c r="IG174" s="90"/>
      <c r="IH174" s="90"/>
      <c r="II174" s="90"/>
      <c r="IJ174" s="90"/>
      <c r="IK174" s="90"/>
      <c r="IL174" s="90"/>
      <c r="IM174" s="90"/>
      <c r="IN174" s="90"/>
      <c r="IO174" s="90"/>
      <c r="IP174" s="90"/>
      <c r="IQ174" s="90"/>
      <c r="IR174" s="90"/>
      <c r="IS174" s="90"/>
      <c r="IT174" s="90"/>
    </row>
    <row r="175" spans="1:254" ht="12.95" customHeight="1" x14ac:dyDescent="0.2">
      <c r="A175" s="71" t="s">
        <v>28</v>
      </c>
      <c r="B175" s="305" t="str">
        <f>Team3!$C$4</f>
        <v>Limavady</v>
      </c>
      <c r="C175" s="72">
        <v>3</v>
      </c>
      <c r="D175" s="299" t="str">
        <f>IF(Team3!G21="","",Team3!G21)</f>
        <v>Joshua Hunt</v>
      </c>
      <c r="E175" s="307"/>
      <c r="F175" s="228">
        <v>22.78</v>
      </c>
      <c r="G175" s="229">
        <v>5</v>
      </c>
      <c r="H175" s="233">
        <f t="shared" si="26"/>
        <v>2</v>
      </c>
      <c r="I175" s="301"/>
      <c r="J175" s="297">
        <f>IF(SUM(H175:H176)=0,"",SUM(H175:H176))</f>
        <v>3</v>
      </c>
      <c r="K175" s="301"/>
      <c r="L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  <c r="HA175" s="90"/>
      <c r="HB175" s="90"/>
      <c r="HC175" s="90"/>
      <c r="HD175" s="90"/>
      <c r="HE175" s="90"/>
      <c r="HF175" s="90"/>
      <c r="HG175" s="90"/>
      <c r="HH175" s="90"/>
      <c r="HI175" s="90"/>
      <c r="HJ175" s="90"/>
      <c r="HK175" s="90"/>
      <c r="HL175" s="90"/>
      <c r="HM175" s="90"/>
      <c r="HN175" s="90"/>
      <c r="HO175" s="90"/>
      <c r="HP175" s="90"/>
      <c r="HQ175" s="90"/>
      <c r="HR175" s="90"/>
      <c r="HS175" s="90"/>
      <c r="HT175" s="90"/>
      <c r="HU175" s="90"/>
      <c r="HV175" s="90"/>
      <c r="HW175" s="90"/>
      <c r="HX175" s="90"/>
      <c r="HY175" s="90"/>
      <c r="HZ175" s="90"/>
      <c r="IA175" s="90"/>
      <c r="IB175" s="90"/>
      <c r="IC175" s="90"/>
      <c r="ID175" s="90"/>
      <c r="IE175" s="90"/>
      <c r="IF175" s="90"/>
      <c r="IG175" s="90"/>
      <c r="IH175" s="90"/>
      <c r="II175" s="90"/>
      <c r="IJ175" s="90"/>
      <c r="IK175" s="90"/>
      <c r="IL175" s="90"/>
      <c r="IM175" s="90"/>
      <c r="IN175" s="90"/>
      <c r="IO175" s="90"/>
      <c r="IP175" s="90"/>
      <c r="IQ175" s="90"/>
      <c r="IR175" s="90"/>
      <c r="IS175" s="90"/>
      <c r="IT175" s="90"/>
    </row>
    <row r="176" spans="1:254" ht="12.95" customHeight="1" thickBot="1" x14ac:dyDescent="0.25">
      <c r="A176" s="71" t="s">
        <v>32</v>
      </c>
      <c r="B176" s="306"/>
      <c r="C176" s="72">
        <v>6</v>
      </c>
      <c r="D176" s="299" t="str">
        <f>IF(Team3!H21="","",Team3!H21)</f>
        <v>Caleb Craig</v>
      </c>
      <c r="E176" s="307"/>
      <c r="F176" s="228">
        <v>23</v>
      </c>
      <c r="G176" s="229">
        <v>6</v>
      </c>
      <c r="H176" s="233">
        <f t="shared" si="26"/>
        <v>1</v>
      </c>
      <c r="I176" s="302"/>
      <c r="J176" s="298"/>
      <c r="K176" s="302"/>
      <c r="L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  <c r="HA176" s="90"/>
      <c r="HB176" s="90"/>
      <c r="HC176" s="90"/>
      <c r="HD176" s="90"/>
      <c r="HE176" s="90"/>
      <c r="HF176" s="90"/>
      <c r="HG176" s="90"/>
      <c r="HH176" s="90"/>
      <c r="HI176" s="90"/>
      <c r="HJ176" s="90"/>
      <c r="HK176" s="90"/>
      <c r="HL176" s="90"/>
      <c r="HM176" s="90"/>
      <c r="HN176" s="90"/>
      <c r="HO176" s="90"/>
      <c r="HP176" s="90"/>
      <c r="HQ176" s="90"/>
      <c r="HR176" s="90"/>
      <c r="HS176" s="90"/>
      <c r="HT176" s="90"/>
      <c r="HU176" s="90"/>
      <c r="HV176" s="90"/>
      <c r="HW176" s="90"/>
      <c r="HX176" s="90"/>
      <c r="HY176" s="90"/>
      <c r="HZ176" s="90"/>
      <c r="IA176" s="90"/>
      <c r="IB176" s="90"/>
      <c r="IC176" s="90"/>
      <c r="ID176" s="90"/>
      <c r="IE176" s="90"/>
      <c r="IF176" s="90"/>
      <c r="IG176" s="90"/>
      <c r="IH176" s="90"/>
      <c r="II176" s="90"/>
      <c r="IJ176" s="90"/>
      <c r="IK176" s="90"/>
      <c r="IL176" s="90"/>
      <c r="IM176" s="90"/>
      <c r="IN176" s="90"/>
      <c r="IO176" s="90"/>
      <c r="IP176" s="90"/>
      <c r="IQ176" s="90"/>
      <c r="IR176" s="90"/>
      <c r="IS176" s="90"/>
      <c r="IT176" s="90"/>
    </row>
    <row r="177" spans="1:254" ht="12" customHeight="1" x14ac:dyDescent="0.2">
      <c r="A177" s="196"/>
      <c r="B177" s="313" t="str">
        <f>Team1!$C$4</f>
        <v>Coleraine</v>
      </c>
      <c r="C177" s="174">
        <v>2</v>
      </c>
      <c r="D177" s="299" t="str">
        <f>IF(Team1!G21="","",Team1!G21)</f>
        <v>Fionnan Duffin</v>
      </c>
      <c r="E177" s="307"/>
      <c r="F177" s="228">
        <v>22</v>
      </c>
      <c r="G177" s="229">
        <v>4</v>
      </c>
      <c r="H177" s="233">
        <f t="shared" si="26"/>
        <v>3</v>
      </c>
      <c r="I177" s="301"/>
      <c r="J177" s="301"/>
      <c r="K177" s="297">
        <f>IF(SUM(H177:H178)=0,"",SUM(H177:H178))</f>
        <v>7</v>
      </c>
      <c r="L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  <c r="HA177" s="90"/>
      <c r="HB177" s="90"/>
      <c r="HC177" s="90"/>
      <c r="HD177" s="90"/>
      <c r="HE177" s="90"/>
      <c r="HF177" s="90"/>
      <c r="HG177" s="90"/>
      <c r="HH177" s="90"/>
      <c r="HI177" s="90"/>
      <c r="HJ177" s="90"/>
      <c r="HK177" s="90"/>
      <c r="HL177" s="90"/>
      <c r="HM177" s="90"/>
      <c r="HN177" s="90"/>
      <c r="HO177" s="90"/>
      <c r="HP177" s="90"/>
      <c r="HQ177" s="90"/>
      <c r="HR177" s="90"/>
      <c r="HS177" s="90"/>
      <c r="HT177" s="90"/>
      <c r="HU177" s="90"/>
      <c r="HV177" s="90"/>
      <c r="HW177" s="90"/>
      <c r="HX177" s="90"/>
      <c r="HY177" s="90"/>
      <c r="HZ177" s="90"/>
      <c r="IA177" s="90"/>
      <c r="IB177" s="90"/>
      <c r="IC177" s="90"/>
      <c r="ID177" s="90"/>
      <c r="IE177" s="90"/>
      <c r="IF177" s="90"/>
      <c r="IG177" s="90"/>
      <c r="IH177" s="90"/>
      <c r="II177" s="90"/>
      <c r="IJ177" s="90"/>
      <c r="IK177" s="90"/>
      <c r="IL177" s="90"/>
      <c r="IM177" s="90"/>
      <c r="IN177" s="90"/>
      <c r="IO177" s="90"/>
      <c r="IP177" s="90"/>
      <c r="IQ177" s="90"/>
      <c r="IR177" s="90"/>
      <c r="IS177" s="90"/>
      <c r="IT177" s="90"/>
    </row>
    <row r="178" spans="1:254" ht="12" customHeight="1" thickBot="1" x14ac:dyDescent="0.25">
      <c r="A178" s="73"/>
      <c r="B178" s="304"/>
      <c r="C178" s="72">
        <v>5</v>
      </c>
      <c r="D178" s="299" t="str">
        <f>IF(Team1!H21="","",Team1!H21)</f>
        <v>Joshua Hawe</v>
      </c>
      <c r="E178" s="307"/>
      <c r="F178" s="228">
        <v>21.52</v>
      </c>
      <c r="G178" s="229">
        <v>3</v>
      </c>
      <c r="H178" s="233">
        <f t="shared" si="26"/>
        <v>4</v>
      </c>
      <c r="I178" s="302"/>
      <c r="J178" s="302"/>
      <c r="K178" s="298"/>
      <c r="L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  <c r="HA178" s="90"/>
      <c r="HB178" s="90"/>
      <c r="HC178" s="90"/>
      <c r="HD178" s="90"/>
      <c r="HE178" s="90"/>
      <c r="HF178" s="90"/>
      <c r="HG178" s="90"/>
      <c r="HH178" s="90"/>
      <c r="HI178" s="90"/>
      <c r="HJ178" s="90"/>
      <c r="HK178" s="90"/>
      <c r="HL178" s="90"/>
      <c r="HM178" s="90"/>
      <c r="HN178" s="90"/>
      <c r="HO178" s="90"/>
      <c r="HP178" s="90"/>
      <c r="HQ178" s="90"/>
      <c r="HR178" s="90"/>
      <c r="HS178" s="90"/>
      <c r="HT178" s="90"/>
      <c r="HU178" s="90"/>
      <c r="HV178" s="90"/>
      <c r="HW178" s="90"/>
      <c r="HX178" s="90"/>
      <c r="HY178" s="90"/>
      <c r="HZ178" s="90"/>
      <c r="IA178" s="90"/>
      <c r="IB178" s="90"/>
      <c r="IC178" s="90"/>
      <c r="ID178" s="90"/>
      <c r="IE178" s="90"/>
      <c r="IF178" s="90"/>
      <c r="IG178" s="90"/>
      <c r="IH178" s="90"/>
      <c r="II178" s="90"/>
      <c r="IJ178" s="90"/>
      <c r="IK178" s="90"/>
      <c r="IL178" s="90"/>
      <c r="IM178" s="90"/>
      <c r="IN178" s="90"/>
      <c r="IO178" s="90"/>
      <c r="IP178" s="90"/>
      <c r="IQ178" s="90"/>
      <c r="IR178" s="90"/>
      <c r="IS178" s="90"/>
      <c r="IT178" s="90"/>
    </row>
    <row r="179" spans="1:254" ht="12" customHeight="1" x14ac:dyDescent="0.2">
      <c r="A179" s="74"/>
      <c r="B179" s="183"/>
      <c r="C179" s="27"/>
      <c r="D179" s="75"/>
      <c r="E179" s="75"/>
      <c r="F179" s="27"/>
      <c r="G179" s="76" t="s">
        <v>33</v>
      </c>
      <c r="H179" s="143"/>
      <c r="I179" s="223">
        <f>SUM(I131,I137,I143,I149,I155,I161,I167,I173)</f>
        <v>66</v>
      </c>
      <c r="J179" s="223">
        <f>SUM(J133,J139,J145,J151,J157,J163,J169,J175)</f>
        <v>50</v>
      </c>
      <c r="K179" s="223">
        <f>SUM(K135,K141,K147,K153,K159,K165,K171,K177)</f>
        <v>52</v>
      </c>
      <c r="L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  <c r="HA179" s="90"/>
      <c r="HB179" s="90"/>
      <c r="HC179" s="90"/>
      <c r="HD179" s="90"/>
      <c r="HE179" s="90"/>
      <c r="HF179" s="90"/>
      <c r="HG179" s="90"/>
      <c r="HH179" s="90"/>
      <c r="HI179" s="90"/>
      <c r="HJ179" s="90"/>
      <c r="HK179" s="90"/>
      <c r="HL179" s="90"/>
      <c r="HM179" s="90"/>
      <c r="HN179" s="90"/>
      <c r="HO179" s="90"/>
      <c r="HP179" s="90"/>
      <c r="HQ179" s="90"/>
      <c r="HR179" s="90"/>
      <c r="HS179" s="90"/>
      <c r="HT179" s="90"/>
      <c r="HU179" s="90"/>
      <c r="HV179" s="90"/>
      <c r="HW179" s="90"/>
      <c r="HX179" s="90"/>
      <c r="HY179" s="90"/>
      <c r="HZ179" s="90"/>
      <c r="IA179" s="90"/>
      <c r="IB179" s="90"/>
      <c r="IC179" s="90"/>
      <c r="ID179" s="90"/>
      <c r="IE179" s="90"/>
      <c r="IF179" s="90"/>
      <c r="IG179" s="90"/>
      <c r="IH179" s="90"/>
      <c r="II179" s="90"/>
      <c r="IJ179" s="90"/>
      <c r="IK179" s="90"/>
      <c r="IL179" s="90"/>
      <c r="IM179" s="90"/>
      <c r="IN179" s="90"/>
      <c r="IO179" s="90"/>
      <c r="IP179" s="90"/>
      <c r="IQ179" s="90"/>
      <c r="IR179" s="90"/>
      <c r="IS179" s="90"/>
      <c r="IT179" s="90"/>
    </row>
    <row r="180" spans="1:254" ht="12" customHeight="1" x14ac:dyDescent="0.2">
      <c r="A180" s="77"/>
      <c r="B180" s="45"/>
      <c r="C180" s="30"/>
      <c r="D180" s="31"/>
      <c r="E180" s="31"/>
      <c r="F180" s="30"/>
      <c r="G180" s="78" t="s">
        <v>34</v>
      </c>
      <c r="H180" s="42"/>
      <c r="I180" s="224">
        <f>I126</f>
        <v>89</v>
      </c>
      <c r="J180" s="224">
        <f t="shared" ref="J180:K180" si="27">J126</f>
        <v>72</v>
      </c>
      <c r="K180" s="224">
        <f t="shared" si="27"/>
        <v>91</v>
      </c>
      <c r="L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  <c r="HA180" s="90"/>
      <c r="HB180" s="90"/>
      <c r="HC180" s="90"/>
      <c r="HD180" s="90"/>
      <c r="HE180" s="90"/>
      <c r="HF180" s="90"/>
      <c r="HG180" s="90"/>
      <c r="HH180" s="90"/>
      <c r="HI180" s="90"/>
      <c r="HJ180" s="90"/>
      <c r="HK180" s="90"/>
      <c r="HL180" s="90"/>
      <c r="HM180" s="90"/>
      <c r="HN180" s="90"/>
      <c r="HO180" s="90"/>
      <c r="HP180" s="90"/>
      <c r="HQ180" s="90"/>
      <c r="HR180" s="90"/>
      <c r="HS180" s="90"/>
      <c r="HT180" s="90"/>
      <c r="HU180" s="90"/>
      <c r="HV180" s="90"/>
      <c r="HW180" s="90"/>
      <c r="HX180" s="90"/>
      <c r="HY180" s="90"/>
      <c r="HZ180" s="90"/>
      <c r="IA180" s="90"/>
      <c r="IB180" s="90"/>
      <c r="IC180" s="90"/>
      <c r="ID180" s="90"/>
      <c r="IE180" s="90"/>
      <c r="IF180" s="90"/>
      <c r="IG180" s="90"/>
      <c r="IH180" s="90"/>
      <c r="II180" s="90"/>
      <c r="IJ180" s="90"/>
      <c r="IK180" s="90"/>
      <c r="IL180" s="90"/>
      <c r="IM180" s="90"/>
      <c r="IN180" s="90"/>
      <c r="IO180" s="90"/>
      <c r="IP180" s="90"/>
      <c r="IQ180" s="90"/>
      <c r="IR180" s="90"/>
      <c r="IS180" s="90"/>
      <c r="IT180" s="90"/>
    </row>
    <row r="181" spans="1:254" ht="12.95" customHeight="1" thickBot="1" x14ac:dyDescent="0.25">
      <c r="A181" s="79"/>
      <c r="B181" s="184"/>
      <c r="C181" s="80"/>
      <c r="D181" s="81"/>
      <c r="E181" s="81"/>
      <c r="F181" s="80"/>
      <c r="G181" s="82" t="s">
        <v>35</v>
      </c>
      <c r="H181" s="150"/>
      <c r="I181" s="225">
        <f>IF(SUM(I179:I180)=0,"",SUM(I179:I180))</f>
        <v>155</v>
      </c>
      <c r="J181" s="225">
        <f>IF(SUM(J179:J180)=0,"",SUM(J179:J180))</f>
        <v>122</v>
      </c>
      <c r="K181" s="225">
        <f>IF(SUM(K179:K180)=0,"",SUM(K179:K180))</f>
        <v>143</v>
      </c>
      <c r="L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  <c r="HA181" s="90"/>
      <c r="HB181" s="90"/>
      <c r="HC181" s="90"/>
      <c r="HD181" s="90"/>
      <c r="HE181" s="90"/>
      <c r="HF181" s="90"/>
      <c r="HG181" s="90"/>
      <c r="HH181" s="90"/>
      <c r="HI181" s="90"/>
      <c r="HJ181" s="90"/>
      <c r="HK181" s="90"/>
      <c r="HL181" s="90"/>
      <c r="HM181" s="90"/>
      <c r="HN181" s="90"/>
      <c r="HO181" s="90"/>
      <c r="HP181" s="90"/>
      <c r="HQ181" s="90"/>
      <c r="HR181" s="90"/>
      <c r="HS181" s="90"/>
      <c r="HT181" s="90"/>
      <c r="HU181" s="90"/>
      <c r="HV181" s="90"/>
      <c r="HW181" s="90"/>
      <c r="HX181" s="90"/>
      <c r="HY181" s="90"/>
      <c r="HZ181" s="90"/>
      <c r="IA181" s="90"/>
      <c r="IB181" s="90"/>
      <c r="IC181" s="90"/>
      <c r="ID181" s="90"/>
      <c r="IE181" s="90"/>
      <c r="IF181" s="90"/>
      <c r="IG181" s="90"/>
      <c r="IH181" s="90"/>
      <c r="II181" s="90"/>
      <c r="IJ181" s="90"/>
      <c r="IK181" s="90"/>
      <c r="IL181" s="90"/>
      <c r="IM181" s="90"/>
      <c r="IN181" s="90"/>
      <c r="IO181" s="90"/>
      <c r="IP181" s="90"/>
      <c r="IQ181" s="90"/>
      <c r="IR181" s="90"/>
      <c r="IS181" s="90"/>
      <c r="IT181" s="90"/>
    </row>
    <row r="182" spans="1:254" ht="15" customHeight="1" x14ac:dyDescent="0.2">
      <c r="A182" s="28"/>
      <c r="B182" s="177"/>
      <c r="C182" s="28"/>
      <c r="D182" s="28"/>
      <c r="E182" s="28"/>
      <c r="F182" s="28"/>
      <c r="G182" s="28"/>
      <c r="H182" s="28"/>
      <c r="I182" s="186"/>
      <c r="J182" s="186"/>
      <c r="K182" s="186"/>
      <c r="L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  <c r="HA182" s="90"/>
      <c r="HB182" s="90"/>
      <c r="HC182" s="90"/>
      <c r="HD182" s="90"/>
      <c r="HE182" s="90"/>
      <c r="HF182" s="90"/>
      <c r="HG182" s="90"/>
      <c r="HH182" s="90"/>
      <c r="HI182" s="90"/>
      <c r="HJ182" s="90"/>
      <c r="HK182" s="90"/>
      <c r="HL182" s="90"/>
      <c r="HM182" s="90"/>
      <c r="HN182" s="90"/>
      <c r="HO182" s="90"/>
      <c r="HP182" s="90"/>
      <c r="HQ182" s="90"/>
      <c r="HR182" s="90"/>
      <c r="HS182" s="90"/>
      <c r="HT182" s="90"/>
      <c r="HU182" s="90"/>
      <c r="HV182" s="90"/>
      <c r="HW182" s="90"/>
      <c r="HX182" s="90"/>
      <c r="HY182" s="90"/>
      <c r="HZ182" s="90"/>
      <c r="IA182" s="90"/>
      <c r="IB182" s="90"/>
      <c r="IC182" s="90"/>
      <c r="ID182" s="90"/>
      <c r="IE182" s="90"/>
      <c r="IF182" s="90"/>
      <c r="IG182" s="90"/>
      <c r="IH182" s="90"/>
      <c r="II182" s="90"/>
      <c r="IJ182" s="90"/>
      <c r="IK182" s="90"/>
      <c r="IL182" s="90"/>
      <c r="IM182" s="90"/>
      <c r="IN182" s="90"/>
      <c r="IO182" s="90"/>
      <c r="IP182" s="90"/>
      <c r="IQ182" s="90"/>
      <c r="IR182" s="90"/>
      <c r="IS182" s="90"/>
      <c r="IT182" s="90"/>
    </row>
    <row r="183" spans="1:254" ht="15" customHeight="1" x14ac:dyDescent="0.25">
      <c r="A183" s="336" t="s">
        <v>37</v>
      </c>
      <c r="B183" s="337"/>
      <c r="C183" s="337"/>
      <c r="D183" s="337"/>
      <c r="E183" s="337"/>
      <c r="F183" s="337"/>
      <c r="G183" s="337"/>
      <c r="H183" s="337"/>
      <c r="I183" s="337"/>
      <c r="J183" s="337"/>
      <c r="K183" s="337"/>
      <c r="L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  <c r="HA183" s="90"/>
      <c r="HB183" s="90"/>
      <c r="HC183" s="90"/>
      <c r="HD183" s="90"/>
      <c r="HE183" s="90"/>
      <c r="HF183" s="90"/>
      <c r="HG183" s="90"/>
      <c r="HH183" s="90"/>
      <c r="HI183" s="90"/>
      <c r="HJ183" s="90"/>
      <c r="HK183" s="90"/>
      <c r="HL183" s="90"/>
      <c r="HM183" s="90"/>
      <c r="HN183" s="90"/>
      <c r="HO183" s="90"/>
      <c r="HP183" s="90"/>
      <c r="HQ183" s="90"/>
      <c r="HR183" s="90"/>
      <c r="HS183" s="90"/>
      <c r="HT183" s="90"/>
      <c r="HU183" s="90"/>
      <c r="HV183" s="90"/>
      <c r="HW183" s="90"/>
      <c r="HX183" s="90"/>
      <c r="HY183" s="90"/>
      <c r="HZ183" s="90"/>
      <c r="IA183" s="90"/>
      <c r="IB183" s="90"/>
      <c r="IC183" s="90"/>
      <c r="ID183" s="90"/>
      <c r="IE183" s="90"/>
      <c r="IF183" s="90"/>
      <c r="IG183" s="90"/>
      <c r="IH183" s="90"/>
      <c r="II183" s="90"/>
      <c r="IJ183" s="90"/>
      <c r="IK183" s="90"/>
      <c r="IL183" s="90"/>
      <c r="IM183" s="90"/>
      <c r="IN183" s="90"/>
      <c r="IO183" s="90"/>
      <c r="IP183" s="90"/>
      <c r="IQ183" s="90"/>
      <c r="IR183" s="90"/>
      <c r="IS183" s="90"/>
      <c r="IT183" s="90"/>
    </row>
    <row r="184" spans="1:254" ht="12.95" customHeight="1" thickBot="1" x14ac:dyDescent="0.25">
      <c r="A184" s="47"/>
      <c r="B184" s="182"/>
      <c r="C184" s="47"/>
      <c r="D184" s="47"/>
      <c r="E184" s="47"/>
      <c r="F184" s="47"/>
      <c r="G184" s="47"/>
      <c r="H184" s="47"/>
      <c r="I184" s="222"/>
      <c r="J184" s="222"/>
      <c r="K184" s="222"/>
      <c r="L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  <c r="HA184" s="90"/>
      <c r="HB184" s="90"/>
      <c r="HC184" s="90"/>
      <c r="HD184" s="90"/>
      <c r="HE184" s="90"/>
      <c r="HF184" s="90"/>
      <c r="HG184" s="90"/>
      <c r="HH184" s="90"/>
      <c r="HI184" s="90"/>
      <c r="HJ184" s="90"/>
      <c r="HK184" s="90"/>
      <c r="HL184" s="90"/>
      <c r="HM184" s="90"/>
      <c r="HN184" s="90"/>
      <c r="HO184" s="90"/>
      <c r="HP184" s="90"/>
      <c r="HQ184" s="90"/>
      <c r="HR184" s="90"/>
      <c r="HS184" s="90"/>
      <c r="HT184" s="90"/>
      <c r="HU184" s="90"/>
      <c r="HV184" s="90"/>
      <c r="HW184" s="90"/>
      <c r="HX184" s="90"/>
      <c r="HY184" s="90"/>
      <c r="HZ184" s="90"/>
      <c r="IA184" s="90"/>
      <c r="IB184" s="90"/>
      <c r="IC184" s="90"/>
      <c r="ID184" s="90"/>
      <c r="IE184" s="90"/>
      <c r="IF184" s="90"/>
      <c r="IG184" s="90"/>
      <c r="IH184" s="90"/>
      <c r="II184" s="90"/>
      <c r="IJ184" s="90"/>
      <c r="IK184" s="90"/>
      <c r="IL184" s="90"/>
      <c r="IM184" s="90"/>
      <c r="IN184" s="90"/>
      <c r="IO184" s="90"/>
      <c r="IP184" s="90"/>
      <c r="IQ184" s="90"/>
      <c r="IR184" s="90"/>
      <c r="IS184" s="90"/>
      <c r="IT184" s="90"/>
    </row>
    <row r="185" spans="1:254" ht="12.95" customHeight="1" thickBot="1" x14ac:dyDescent="0.25">
      <c r="A185" s="67" t="s">
        <v>1</v>
      </c>
      <c r="B185" s="68" t="s">
        <v>20</v>
      </c>
      <c r="C185" s="68" t="s">
        <v>21</v>
      </c>
      <c r="D185" s="340" t="s">
        <v>22</v>
      </c>
      <c r="E185" s="341"/>
      <c r="F185" s="68" t="s">
        <v>23</v>
      </c>
      <c r="G185" s="68" t="s">
        <v>24</v>
      </c>
      <c r="H185" s="158" t="s">
        <v>16</v>
      </c>
      <c r="I185" s="342" t="s">
        <v>16</v>
      </c>
      <c r="J185" s="343"/>
      <c r="K185" s="344"/>
      <c r="L185" s="90"/>
      <c r="N185" s="90" t="s">
        <v>148</v>
      </c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  <c r="HA185" s="90"/>
      <c r="HB185" s="90"/>
      <c r="HC185" s="90"/>
      <c r="HD185" s="90"/>
      <c r="HE185" s="90"/>
      <c r="HF185" s="90"/>
      <c r="HG185" s="90"/>
      <c r="HH185" s="90"/>
      <c r="HI185" s="90"/>
      <c r="HJ185" s="90"/>
      <c r="HK185" s="90"/>
      <c r="HL185" s="90"/>
      <c r="HM185" s="90"/>
      <c r="HN185" s="90"/>
      <c r="HO185" s="90"/>
      <c r="HP185" s="90"/>
      <c r="HQ185" s="90"/>
      <c r="HR185" s="90"/>
      <c r="HS185" s="90"/>
      <c r="HT185" s="90"/>
      <c r="HU185" s="90"/>
      <c r="HV185" s="90"/>
      <c r="HW185" s="90"/>
      <c r="HX185" s="90"/>
      <c r="HY185" s="90"/>
      <c r="HZ185" s="90"/>
      <c r="IA185" s="90"/>
      <c r="IB185" s="90"/>
      <c r="IC185" s="90"/>
      <c r="ID185" s="90"/>
      <c r="IE185" s="90"/>
      <c r="IF185" s="90"/>
      <c r="IG185" s="90"/>
      <c r="IH185" s="90"/>
      <c r="II185" s="90"/>
      <c r="IJ185" s="90"/>
      <c r="IK185" s="90"/>
      <c r="IL185" s="90"/>
      <c r="IM185" s="90"/>
      <c r="IN185" s="90"/>
      <c r="IO185" s="90"/>
      <c r="IP185" s="90"/>
      <c r="IQ185" s="90"/>
      <c r="IR185" s="90"/>
      <c r="IS185" s="90"/>
      <c r="IT185" s="90"/>
    </row>
    <row r="186" spans="1:254" ht="12" customHeight="1" x14ac:dyDescent="0.2">
      <c r="A186" s="69"/>
      <c r="B186" s="303" t="str">
        <f>Team2!$C$4</f>
        <v>Lisburn</v>
      </c>
      <c r="C186" s="70">
        <v>4</v>
      </c>
      <c r="D186" s="338" t="str">
        <f>IF(Team2!C22="","",Team2!C22)</f>
        <v xml:space="preserve">Tilly Bracken </v>
      </c>
      <c r="E186" s="339"/>
      <c r="F186" s="226">
        <v>29.73</v>
      </c>
      <c r="G186" s="227">
        <v>6</v>
      </c>
      <c r="H186" s="232">
        <f>IF(G186="","",IF(G186=6,1,IF(G186=5,2,IF(G186=4,3,IF(G186=3,4,IF(G186=2,5,6))))))</f>
        <v>1</v>
      </c>
      <c r="I186" s="297">
        <f>IF(SUM(H186:H187)=0,"",SUM(H186:H187))</f>
        <v>4</v>
      </c>
      <c r="J186" s="301"/>
      <c r="K186" s="301"/>
      <c r="L186" s="90"/>
      <c r="N186" s="90" t="s">
        <v>166</v>
      </c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  <c r="HA186" s="90"/>
      <c r="HB186" s="90"/>
      <c r="HC186" s="90"/>
      <c r="HD186" s="90"/>
      <c r="HE186" s="90"/>
      <c r="HF186" s="90"/>
      <c r="HG186" s="90"/>
      <c r="HH186" s="90"/>
      <c r="HI186" s="90"/>
      <c r="HJ186" s="90"/>
      <c r="HK186" s="90"/>
      <c r="HL186" s="90"/>
      <c r="HM186" s="90"/>
      <c r="HN186" s="90"/>
      <c r="HO186" s="90"/>
      <c r="HP186" s="90"/>
      <c r="HQ186" s="90"/>
      <c r="HR186" s="90"/>
      <c r="HS186" s="90"/>
      <c r="HT186" s="90"/>
      <c r="HU186" s="90"/>
      <c r="HV186" s="90"/>
      <c r="HW186" s="90"/>
      <c r="HX186" s="90"/>
      <c r="HY186" s="90"/>
      <c r="HZ186" s="90"/>
      <c r="IA186" s="90"/>
      <c r="IB186" s="90"/>
      <c r="IC186" s="90"/>
      <c r="ID186" s="90"/>
      <c r="IE186" s="90"/>
      <c r="IF186" s="90"/>
      <c r="IG186" s="90"/>
      <c r="IH186" s="90"/>
      <c r="II186" s="90"/>
      <c r="IJ186" s="90"/>
      <c r="IK186" s="90"/>
      <c r="IL186" s="90"/>
      <c r="IM186" s="90"/>
      <c r="IN186" s="90"/>
      <c r="IO186" s="90"/>
      <c r="IP186" s="90"/>
      <c r="IQ186" s="90"/>
      <c r="IR186" s="90"/>
      <c r="IS186" s="90"/>
      <c r="IT186" s="90"/>
    </row>
    <row r="187" spans="1:254" ht="12" customHeight="1" thickBot="1" x14ac:dyDescent="0.25">
      <c r="A187" s="71">
        <v>21</v>
      </c>
      <c r="B187" s="304"/>
      <c r="C187" s="72">
        <v>1</v>
      </c>
      <c r="D187" s="299" t="str">
        <f>IF(Team2!D22="","",Team2!D22)</f>
        <v>Amelia Stone</v>
      </c>
      <c r="E187" s="307"/>
      <c r="F187" s="228">
        <v>27.4</v>
      </c>
      <c r="G187" s="229">
        <v>4</v>
      </c>
      <c r="H187" s="233">
        <f t="shared" ref="H187:H191" si="28">IF(G187="","",IF(G187=6,1,IF(G187=5,2,IF(G187=4,3,IF(G187=3,4,IF(G187=2,5,6))))))</f>
        <v>3</v>
      </c>
      <c r="I187" s="298"/>
      <c r="J187" s="302"/>
      <c r="K187" s="302"/>
      <c r="L187" s="90"/>
      <c r="N187" s="90" t="s">
        <v>161</v>
      </c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  <c r="HA187" s="90"/>
      <c r="HB187" s="90"/>
      <c r="HC187" s="90"/>
      <c r="HD187" s="90"/>
      <c r="HE187" s="90"/>
      <c r="HF187" s="90"/>
      <c r="HG187" s="90"/>
      <c r="HH187" s="90"/>
      <c r="HI187" s="90"/>
      <c r="HJ187" s="90"/>
      <c r="HK187" s="90"/>
      <c r="HL187" s="90"/>
      <c r="HM187" s="90"/>
      <c r="HN187" s="90"/>
      <c r="HO187" s="90"/>
      <c r="HP187" s="90"/>
      <c r="HQ187" s="90"/>
      <c r="HR187" s="90"/>
      <c r="HS187" s="90"/>
      <c r="HT187" s="90"/>
      <c r="HU187" s="90"/>
      <c r="HV187" s="90"/>
      <c r="HW187" s="90"/>
      <c r="HX187" s="90"/>
      <c r="HY187" s="90"/>
      <c r="HZ187" s="90"/>
      <c r="IA187" s="90"/>
      <c r="IB187" s="90"/>
      <c r="IC187" s="90"/>
      <c r="ID187" s="90"/>
      <c r="IE187" s="90"/>
      <c r="IF187" s="90"/>
      <c r="IG187" s="90"/>
      <c r="IH187" s="90"/>
      <c r="II187" s="90"/>
      <c r="IJ187" s="90"/>
      <c r="IK187" s="90"/>
      <c r="IL187" s="90"/>
      <c r="IM187" s="90"/>
      <c r="IN187" s="90"/>
      <c r="IO187" s="90"/>
      <c r="IP187" s="90"/>
      <c r="IQ187" s="90"/>
      <c r="IR187" s="90"/>
      <c r="IS187" s="90"/>
      <c r="IT187" s="90"/>
    </row>
    <row r="188" spans="1:254" ht="12" customHeight="1" x14ac:dyDescent="0.2">
      <c r="A188" s="71" t="s">
        <v>25</v>
      </c>
      <c r="B188" s="305" t="str">
        <f>Team3!$C$4</f>
        <v>Limavady</v>
      </c>
      <c r="C188" s="72">
        <v>3</v>
      </c>
      <c r="D188" s="299" t="str">
        <f>IF(Team3!C22="","",Team3!C22)</f>
        <v>Myia Mc Clamont</v>
      </c>
      <c r="E188" s="307"/>
      <c r="F188" s="228">
        <v>22.48</v>
      </c>
      <c r="G188" s="229">
        <v>1</v>
      </c>
      <c r="H188" s="233">
        <f t="shared" si="28"/>
        <v>6</v>
      </c>
      <c r="I188" s="301"/>
      <c r="J188" s="297">
        <f>IF(SUM(H188:H189)=0,"",SUM(H188:H189))</f>
        <v>11</v>
      </c>
      <c r="K188" s="301"/>
      <c r="L188" s="90"/>
      <c r="N188" s="90" t="s">
        <v>149</v>
      </c>
      <c r="O188" s="90"/>
      <c r="P188" s="90"/>
      <c r="Q188" s="90">
        <f>(6+5)/2</f>
        <v>5.5</v>
      </c>
      <c r="R188" s="90" t="s">
        <v>155</v>
      </c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  <c r="HA188" s="90"/>
      <c r="HB188" s="90"/>
      <c r="HC188" s="90"/>
      <c r="HD188" s="90"/>
      <c r="HE188" s="90"/>
      <c r="HF188" s="90"/>
      <c r="HG188" s="90"/>
      <c r="HH188" s="90"/>
      <c r="HI188" s="90"/>
      <c r="HJ188" s="90"/>
      <c r="HK188" s="90"/>
      <c r="HL188" s="90"/>
      <c r="HM188" s="90"/>
      <c r="HN188" s="90"/>
      <c r="HO188" s="90"/>
      <c r="HP188" s="90"/>
      <c r="HQ188" s="90"/>
      <c r="HR188" s="90"/>
      <c r="HS188" s="90"/>
      <c r="HT188" s="90"/>
      <c r="HU188" s="90"/>
      <c r="HV188" s="90"/>
      <c r="HW188" s="90"/>
      <c r="HX188" s="90"/>
      <c r="HY188" s="90"/>
      <c r="HZ188" s="90"/>
      <c r="IA188" s="90"/>
      <c r="IB188" s="90"/>
      <c r="IC188" s="90"/>
      <c r="ID188" s="90"/>
      <c r="IE188" s="90"/>
      <c r="IF188" s="90"/>
      <c r="IG188" s="90"/>
      <c r="IH188" s="90"/>
      <c r="II188" s="90"/>
      <c r="IJ188" s="90"/>
      <c r="IK188" s="90"/>
      <c r="IL188" s="90"/>
      <c r="IM188" s="90"/>
      <c r="IN188" s="90"/>
      <c r="IO188" s="90"/>
      <c r="IP188" s="90"/>
      <c r="IQ188" s="90"/>
      <c r="IR188" s="90"/>
      <c r="IS188" s="90"/>
      <c r="IT188" s="90"/>
    </row>
    <row r="189" spans="1:254" ht="12" customHeight="1" thickBot="1" x14ac:dyDescent="0.25">
      <c r="A189" s="71" t="s">
        <v>31</v>
      </c>
      <c r="B189" s="306"/>
      <c r="C189" s="72">
        <v>6</v>
      </c>
      <c r="D189" s="299" t="str">
        <f>IF(Team3!D22="","",Team3!D22)</f>
        <v>Fiona O Neill</v>
      </c>
      <c r="E189" s="307"/>
      <c r="F189" s="228">
        <v>22.32</v>
      </c>
      <c r="G189" s="229">
        <v>2</v>
      </c>
      <c r="H189" s="233">
        <f t="shared" si="28"/>
        <v>5</v>
      </c>
      <c r="I189" s="302"/>
      <c r="J189" s="298"/>
      <c r="K189" s="302"/>
      <c r="L189" s="90"/>
      <c r="N189" s="90" t="s">
        <v>152</v>
      </c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  <c r="HA189" s="90"/>
      <c r="HB189" s="90"/>
      <c r="HC189" s="90"/>
      <c r="HD189" s="90"/>
      <c r="HE189" s="90"/>
      <c r="HF189" s="90"/>
      <c r="HG189" s="90"/>
      <c r="HH189" s="90"/>
      <c r="HI189" s="90"/>
      <c r="HJ189" s="90"/>
      <c r="HK189" s="90"/>
      <c r="HL189" s="90"/>
      <c r="HM189" s="90"/>
      <c r="HN189" s="90"/>
      <c r="HO189" s="90"/>
      <c r="HP189" s="90"/>
      <c r="HQ189" s="90"/>
      <c r="HR189" s="90"/>
      <c r="HS189" s="90"/>
      <c r="HT189" s="90"/>
      <c r="HU189" s="90"/>
      <c r="HV189" s="90"/>
      <c r="HW189" s="90"/>
      <c r="HX189" s="90"/>
      <c r="HY189" s="90"/>
      <c r="HZ189" s="90"/>
      <c r="IA189" s="90"/>
      <c r="IB189" s="90"/>
      <c r="IC189" s="90"/>
      <c r="ID189" s="90"/>
      <c r="IE189" s="90"/>
      <c r="IF189" s="90"/>
      <c r="IG189" s="90"/>
      <c r="IH189" s="90"/>
      <c r="II189" s="90"/>
      <c r="IJ189" s="90"/>
      <c r="IK189" s="90"/>
      <c r="IL189" s="90"/>
      <c r="IM189" s="90"/>
      <c r="IN189" s="90"/>
      <c r="IO189" s="90"/>
      <c r="IP189" s="90"/>
      <c r="IQ189" s="90"/>
      <c r="IR189" s="90"/>
      <c r="IS189" s="90"/>
      <c r="IT189" s="90"/>
    </row>
    <row r="190" spans="1:254" ht="12" customHeight="1" x14ac:dyDescent="0.2">
      <c r="A190" s="71"/>
      <c r="B190" s="313" t="str">
        <f>Team1!$C$4</f>
        <v>Coleraine</v>
      </c>
      <c r="C190" s="174">
        <v>2</v>
      </c>
      <c r="D190" s="346" t="str">
        <f>IF(Team1!C22="","",Team1!C22)</f>
        <v>Sarah Campbell</v>
      </c>
      <c r="E190" s="347"/>
      <c r="F190" s="230">
        <v>27.84</v>
      </c>
      <c r="G190" s="231">
        <v>5</v>
      </c>
      <c r="H190" s="234">
        <f t="shared" si="28"/>
        <v>2</v>
      </c>
      <c r="I190" s="301"/>
      <c r="J190" s="301"/>
      <c r="K190" s="297">
        <f>IF(SUM(H190:H191)=0,"",SUM(H190:H191))</f>
        <v>6</v>
      </c>
      <c r="L190" s="90"/>
      <c r="N190" s="90" t="s">
        <v>150</v>
      </c>
      <c r="O190" s="90"/>
      <c r="P190" s="90"/>
      <c r="Q190" s="90">
        <f>(5+4)/2</f>
        <v>4.5</v>
      </c>
      <c r="R190" s="90" t="s">
        <v>155</v>
      </c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  <c r="HA190" s="90"/>
      <c r="HB190" s="90"/>
      <c r="HC190" s="90"/>
      <c r="HD190" s="90"/>
      <c r="HE190" s="90"/>
      <c r="HF190" s="90"/>
      <c r="HG190" s="90"/>
      <c r="HH190" s="90"/>
      <c r="HI190" s="90"/>
      <c r="HJ190" s="90"/>
      <c r="HK190" s="90"/>
      <c r="HL190" s="90"/>
      <c r="HM190" s="90"/>
      <c r="HN190" s="90"/>
      <c r="HO190" s="90"/>
      <c r="HP190" s="90"/>
      <c r="HQ190" s="90"/>
      <c r="HR190" s="90"/>
      <c r="HS190" s="90"/>
      <c r="HT190" s="90"/>
      <c r="HU190" s="90"/>
      <c r="HV190" s="90"/>
      <c r="HW190" s="90"/>
      <c r="HX190" s="90"/>
      <c r="HY190" s="90"/>
      <c r="HZ190" s="90"/>
      <c r="IA190" s="90"/>
      <c r="IB190" s="90"/>
      <c r="IC190" s="90"/>
      <c r="ID190" s="90"/>
      <c r="IE190" s="90"/>
      <c r="IF190" s="90"/>
      <c r="IG190" s="90"/>
      <c r="IH190" s="90"/>
      <c r="II190" s="90"/>
      <c r="IJ190" s="90"/>
      <c r="IK190" s="90"/>
      <c r="IL190" s="90"/>
      <c r="IM190" s="90"/>
      <c r="IN190" s="90"/>
      <c r="IO190" s="90"/>
      <c r="IP190" s="90"/>
      <c r="IQ190" s="90"/>
      <c r="IR190" s="90"/>
      <c r="IS190" s="90"/>
      <c r="IT190" s="90"/>
    </row>
    <row r="191" spans="1:254" ht="12" customHeight="1" thickBot="1" x14ac:dyDescent="0.25">
      <c r="A191" s="73"/>
      <c r="B191" s="304"/>
      <c r="C191" s="72">
        <v>5</v>
      </c>
      <c r="D191" s="299" t="str">
        <f>IF(Team1!D22="","",Team1!D22)</f>
        <v>Olivia Jenkinson</v>
      </c>
      <c r="E191" s="307"/>
      <c r="F191" s="228">
        <v>23.44</v>
      </c>
      <c r="G191" s="229">
        <v>3</v>
      </c>
      <c r="H191" s="233">
        <f t="shared" si="28"/>
        <v>4</v>
      </c>
      <c r="I191" s="302"/>
      <c r="J191" s="302"/>
      <c r="K191" s="298"/>
      <c r="L191" s="90"/>
      <c r="N191" s="90" t="s">
        <v>153</v>
      </c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  <c r="HA191" s="90"/>
      <c r="HB191" s="90"/>
      <c r="HC191" s="90"/>
      <c r="HD191" s="90"/>
      <c r="HE191" s="90"/>
      <c r="HF191" s="90"/>
      <c r="HG191" s="90"/>
      <c r="HH191" s="90"/>
      <c r="HI191" s="90"/>
      <c r="HJ191" s="90"/>
      <c r="HK191" s="90"/>
      <c r="HL191" s="90"/>
      <c r="HM191" s="90"/>
      <c r="HN191" s="90"/>
      <c r="HO191" s="90"/>
      <c r="HP191" s="90"/>
      <c r="HQ191" s="90"/>
      <c r="HR191" s="90"/>
      <c r="HS191" s="90"/>
      <c r="HT191" s="90"/>
      <c r="HU191" s="90"/>
      <c r="HV191" s="90"/>
      <c r="HW191" s="90"/>
      <c r="HX191" s="90"/>
      <c r="HY191" s="90"/>
      <c r="HZ191" s="90"/>
      <c r="IA191" s="90"/>
      <c r="IB191" s="90"/>
      <c r="IC191" s="90"/>
      <c r="ID191" s="90"/>
      <c r="IE191" s="90"/>
      <c r="IF191" s="90"/>
      <c r="IG191" s="90"/>
      <c r="IH191" s="90"/>
      <c r="II191" s="90"/>
      <c r="IJ191" s="90"/>
      <c r="IK191" s="90"/>
      <c r="IL191" s="90"/>
      <c r="IM191" s="90"/>
      <c r="IN191" s="90"/>
      <c r="IO191" s="90"/>
      <c r="IP191" s="90"/>
      <c r="IQ191" s="90"/>
      <c r="IR191" s="90"/>
      <c r="IS191" s="90"/>
      <c r="IT191" s="90"/>
    </row>
    <row r="192" spans="1:254" ht="12" customHeight="1" x14ac:dyDescent="0.2">
      <c r="A192" s="69"/>
      <c r="B192" s="303" t="str">
        <f>Team2!$C$4</f>
        <v>Lisburn</v>
      </c>
      <c r="C192" s="70">
        <v>4</v>
      </c>
      <c r="D192" s="338" t="str">
        <f>IF(Team2!G22="","",Team2!G22)</f>
        <v>Harry McGlashan</v>
      </c>
      <c r="E192" s="339"/>
      <c r="F192" s="226">
        <v>19.440000000000001</v>
      </c>
      <c r="G192" s="227">
        <v>1</v>
      </c>
      <c r="H192" s="232">
        <f>IF(G192="","",IF(G192=6,1,IF(G192=5,2,IF(G192=4,3,IF(G192=3,4,IF(G192=2,5,6))))))</f>
        <v>6</v>
      </c>
      <c r="I192" s="297">
        <f>IF(SUM(H192:H193)=0,"",SUM(H192:H193))</f>
        <v>11</v>
      </c>
      <c r="J192" s="301"/>
      <c r="K192" s="301"/>
      <c r="L192" s="90"/>
      <c r="N192" s="90" t="s">
        <v>151</v>
      </c>
      <c r="O192" s="90"/>
      <c r="P192" s="90"/>
      <c r="Q192" s="90">
        <f>(4+3)/2</f>
        <v>3.5</v>
      </c>
      <c r="R192" s="90" t="s">
        <v>155</v>
      </c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  <c r="HA192" s="90"/>
      <c r="HB192" s="90"/>
      <c r="HC192" s="90"/>
      <c r="HD192" s="90"/>
      <c r="HE192" s="90"/>
      <c r="HF192" s="90"/>
      <c r="HG192" s="90"/>
      <c r="HH192" s="90"/>
      <c r="HI192" s="90"/>
      <c r="HJ192" s="90"/>
      <c r="HK192" s="90"/>
      <c r="HL192" s="90"/>
      <c r="HM192" s="90"/>
      <c r="HN192" s="90"/>
      <c r="HO192" s="90"/>
      <c r="HP192" s="90"/>
      <c r="HQ192" s="90"/>
      <c r="HR192" s="90"/>
      <c r="HS192" s="90"/>
      <c r="HT192" s="90"/>
      <c r="HU192" s="90"/>
      <c r="HV192" s="90"/>
      <c r="HW192" s="90"/>
      <c r="HX192" s="90"/>
      <c r="HY192" s="90"/>
      <c r="HZ192" s="90"/>
      <c r="IA192" s="90"/>
      <c r="IB192" s="90"/>
      <c r="IC192" s="90"/>
      <c r="ID192" s="90"/>
      <c r="IE192" s="90"/>
      <c r="IF192" s="90"/>
      <c r="IG192" s="90"/>
      <c r="IH192" s="90"/>
      <c r="II192" s="90"/>
      <c r="IJ192" s="90"/>
      <c r="IK192" s="90"/>
      <c r="IL192" s="90"/>
      <c r="IM192" s="90"/>
      <c r="IN192" s="90"/>
      <c r="IO192" s="90"/>
      <c r="IP192" s="90"/>
      <c r="IQ192" s="90"/>
      <c r="IR192" s="90"/>
      <c r="IS192" s="90"/>
      <c r="IT192" s="90"/>
    </row>
    <row r="193" spans="1:254" ht="12" customHeight="1" thickBot="1" x14ac:dyDescent="0.25">
      <c r="A193" s="71">
        <v>22</v>
      </c>
      <c r="B193" s="304"/>
      <c r="C193" s="72">
        <v>1</v>
      </c>
      <c r="D193" s="299" t="str">
        <f>IF(Team2!H22="","",Team2!H22)</f>
        <v>Ross Gray</v>
      </c>
      <c r="E193" s="307"/>
      <c r="F193" s="228">
        <v>24.44</v>
      </c>
      <c r="G193" s="229">
        <v>2</v>
      </c>
      <c r="H193" s="233">
        <f t="shared" ref="H193:H197" si="29">IF(G193="","",IF(G193=6,1,IF(G193=5,2,IF(G193=4,3,IF(G193=3,4,IF(G193=2,5,6))))))</f>
        <v>5</v>
      </c>
      <c r="I193" s="298"/>
      <c r="J193" s="302"/>
      <c r="K193" s="302"/>
      <c r="L193" s="90"/>
      <c r="N193" s="90" t="s">
        <v>154</v>
      </c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  <c r="HA193" s="90"/>
      <c r="HB193" s="90"/>
      <c r="HC193" s="90"/>
      <c r="HD193" s="90"/>
      <c r="HE193" s="90"/>
      <c r="HF193" s="90"/>
      <c r="HG193" s="90"/>
      <c r="HH193" s="90"/>
      <c r="HI193" s="90"/>
      <c r="HJ193" s="90"/>
      <c r="HK193" s="90"/>
      <c r="HL193" s="90"/>
      <c r="HM193" s="90"/>
      <c r="HN193" s="90"/>
      <c r="HO193" s="90"/>
      <c r="HP193" s="90"/>
      <c r="HQ193" s="90"/>
      <c r="HR193" s="90"/>
      <c r="HS193" s="90"/>
      <c r="HT193" s="90"/>
      <c r="HU193" s="90"/>
      <c r="HV193" s="90"/>
      <c r="HW193" s="90"/>
      <c r="HX193" s="90"/>
      <c r="HY193" s="90"/>
      <c r="HZ193" s="90"/>
      <c r="IA193" s="90"/>
      <c r="IB193" s="90"/>
      <c r="IC193" s="90"/>
      <c r="ID193" s="90"/>
      <c r="IE193" s="90"/>
      <c r="IF193" s="90"/>
      <c r="IG193" s="90"/>
      <c r="IH193" s="90"/>
      <c r="II193" s="90"/>
      <c r="IJ193" s="90"/>
      <c r="IK193" s="90"/>
      <c r="IL193" s="90"/>
      <c r="IM193" s="90"/>
      <c r="IN193" s="90"/>
      <c r="IO193" s="90"/>
      <c r="IP193" s="90"/>
      <c r="IQ193" s="90"/>
      <c r="IR193" s="90"/>
      <c r="IS193" s="90"/>
      <c r="IT193" s="90"/>
    </row>
    <row r="194" spans="1:254" ht="12" customHeight="1" x14ac:dyDescent="0.2">
      <c r="A194" s="71" t="s">
        <v>25</v>
      </c>
      <c r="B194" s="305" t="str">
        <f>Team3!$C$4</f>
        <v>Limavady</v>
      </c>
      <c r="C194" s="72">
        <v>3</v>
      </c>
      <c r="D194" s="299" t="str">
        <f>IF(Team3!G22="","",Team3!G22)</f>
        <v>Tom Cormie</v>
      </c>
      <c r="E194" s="307"/>
      <c r="F194" s="228">
        <v>24.58</v>
      </c>
      <c r="G194" s="229">
        <v>3</v>
      </c>
      <c r="H194" s="233">
        <f t="shared" si="29"/>
        <v>4</v>
      </c>
      <c r="I194" s="301"/>
      <c r="J194" s="297">
        <f>IF(SUM(H194:H195)=0,"",SUM(H194:H195))</f>
        <v>5</v>
      </c>
      <c r="K194" s="301"/>
      <c r="L194" s="90"/>
      <c r="N194" s="90" t="s">
        <v>156</v>
      </c>
      <c r="O194" s="90"/>
      <c r="P194" s="90"/>
      <c r="Q194" s="90">
        <f>(3+2)/2</f>
        <v>2.5</v>
      </c>
      <c r="R194" s="90" t="s">
        <v>155</v>
      </c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  <c r="HA194" s="90"/>
      <c r="HB194" s="90"/>
      <c r="HC194" s="90"/>
      <c r="HD194" s="90"/>
      <c r="HE194" s="90"/>
      <c r="HF194" s="90"/>
      <c r="HG194" s="90"/>
      <c r="HH194" s="90"/>
      <c r="HI194" s="90"/>
      <c r="HJ194" s="90"/>
      <c r="HK194" s="90"/>
      <c r="HL194" s="90"/>
      <c r="HM194" s="90"/>
      <c r="HN194" s="90"/>
      <c r="HO194" s="90"/>
      <c r="HP194" s="90"/>
      <c r="HQ194" s="90"/>
      <c r="HR194" s="90"/>
      <c r="HS194" s="90"/>
      <c r="HT194" s="90"/>
      <c r="HU194" s="90"/>
      <c r="HV194" s="90"/>
      <c r="HW194" s="90"/>
      <c r="HX194" s="90"/>
      <c r="HY194" s="90"/>
      <c r="HZ194" s="90"/>
      <c r="IA194" s="90"/>
      <c r="IB194" s="90"/>
      <c r="IC194" s="90"/>
      <c r="ID194" s="90"/>
      <c r="IE194" s="90"/>
      <c r="IF194" s="90"/>
      <c r="IG194" s="90"/>
      <c r="IH194" s="90"/>
      <c r="II194" s="90"/>
      <c r="IJ194" s="90"/>
      <c r="IK194" s="90"/>
      <c r="IL194" s="90"/>
      <c r="IM194" s="90"/>
      <c r="IN194" s="90"/>
      <c r="IO194" s="90"/>
      <c r="IP194" s="90"/>
      <c r="IQ194" s="90"/>
      <c r="IR194" s="90"/>
      <c r="IS194" s="90"/>
      <c r="IT194" s="90"/>
    </row>
    <row r="195" spans="1:254" ht="12" customHeight="1" thickBot="1" x14ac:dyDescent="0.25">
      <c r="A195" s="71" t="s">
        <v>32</v>
      </c>
      <c r="B195" s="306"/>
      <c r="C195" s="72">
        <v>6</v>
      </c>
      <c r="D195" s="299" t="str">
        <f>IF(Team3!H22="","",Team3!H22)</f>
        <v>Henry Connell</v>
      </c>
      <c r="E195" s="307"/>
      <c r="F195" s="228">
        <v>33.659999999999997</v>
      </c>
      <c r="G195" s="229">
        <v>6</v>
      </c>
      <c r="H195" s="233">
        <f t="shared" si="29"/>
        <v>1</v>
      </c>
      <c r="I195" s="302"/>
      <c r="J195" s="298"/>
      <c r="K195" s="302"/>
      <c r="L195" s="90"/>
      <c r="N195" s="90" t="s">
        <v>157</v>
      </c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  <c r="HA195" s="90"/>
      <c r="HB195" s="90"/>
      <c r="HC195" s="90"/>
      <c r="HD195" s="90"/>
      <c r="HE195" s="90"/>
      <c r="HF195" s="90"/>
      <c r="HG195" s="90"/>
      <c r="HH195" s="90"/>
      <c r="HI195" s="90"/>
      <c r="HJ195" s="90"/>
      <c r="HK195" s="90"/>
      <c r="HL195" s="90"/>
      <c r="HM195" s="90"/>
      <c r="HN195" s="90"/>
      <c r="HO195" s="90"/>
      <c r="HP195" s="90"/>
      <c r="HQ195" s="90"/>
      <c r="HR195" s="90"/>
      <c r="HS195" s="90"/>
      <c r="HT195" s="90"/>
      <c r="HU195" s="90"/>
      <c r="HV195" s="90"/>
      <c r="HW195" s="90"/>
      <c r="HX195" s="90"/>
      <c r="HY195" s="90"/>
      <c r="HZ195" s="90"/>
      <c r="IA195" s="90"/>
      <c r="IB195" s="90"/>
      <c r="IC195" s="90"/>
      <c r="ID195" s="90"/>
      <c r="IE195" s="90"/>
      <c r="IF195" s="90"/>
      <c r="IG195" s="90"/>
      <c r="IH195" s="90"/>
      <c r="II195" s="90"/>
      <c r="IJ195" s="90"/>
      <c r="IK195" s="90"/>
      <c r="IL195" s="90"/>
      <c r="IM195" s="90"/>
      <c r="IN195" s="90"/>
      <c r="IO195" s="90"/>
      <c r="IP195" s="90"/>
      <c r="IQ195" s="90"/>
      <c r="IR195" s="90"/>
      <c r="IS195" s="90"/>
      <c r="IT195" s="90"/>
    </row>
    <row r="196" spans="1:254" ht="12" customHeight="1" x14ac:dyDescent="0.2">
      <c r="A196" s="71"/>
      <c r="B196" s="313" t="str">
        <f>Team1!$C$4</f>
        <v>Coleraine</v>
      </c>
      <c r="C196" s="174">
        <v>2</v>
      </c>
      <c r="D196" s="346" t="str">
        <f>IF(Team1!G22="","",Team1!G22)</f>
        <v>Humphry Spence</v>
      </c>
      <c r="E196" s="347"/>
      <c r="F196" s="230">
        <v>27.65</v>
      </c>
      <c r="G196" s="231">
        <v>4</v>
      </c>
      <c r="H196" s="234">
        <f t="shared" si="29"/>
        <v>3</v>
      </c>
      <c r="I196" s="301"/>
      <c r="J196" s="301"/>
      <c r="K196" s="297">
        <f>IF(SUM(H196:H197)=0,"",SUM(H196:H197))</f>
        <v>5</v>
      </c>
      <c r="L196" s="90"/>
      <c r="N196" s="90" t="s">
        <v>159</v>
      </c>
      <c r="O196" s="90"/>
      <c r="P196" s="90"/>
      <c r="Q196" s="90">
        <f>(2+1)/2</f>
        <v>1.5</v>
      </c>
      <c r="R196" s="90" t="s">
        <v>155</v>
      </c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  <c r="HA196" s="90"/>
      <c r="HB196" s="90"/>
      <c r="HC196" s="90"/>
      <c r="HD196" s="90"/>
      <c r="HE196" s="90"/>
      <c r="HF196" s="90"/>
      <c r="HG196" s="90"/>
      <c r="HH196" s="90"/>
      <c r="HI196" s="90"/>
      <c r="HJ196" s="90"/>
      <c r="HK196" s="90"/>
      <c r="HL196" s="90"/>
      <c r="HM196" s="90"/>
      <c r="HN196" s="90"/>
      <c r="HO196" s="90"/>
      <c r="HP196" s="90"/>
      <c r="HQ196" s="90"/>
      <c r="HR196" s="90"/>
      <c r="HS196" s="90"/>
      <c r="HT196" s="90"/>
      <c r="HU196" s="90"/>
      <c r="HV196" s="90"/>
      <c r="HW196" s="90"/>
      <c r="HX196" s="90"/>
      <c r="HY196" s="90"/>
      <c r="HZ196" s="90"/>
      <c r="IA196" s="90"/>
      <c r="IB196" s="90"/>
      <c r="IC196" s="90"/>
      <c r="ID196" s="90"/>
      <c r="IE196" s="90"/>
      <c r="IF196" s="90"/>
      <c r="IG196" s="90"/>
      <c r="IH196" s="90"/>
      <c r="II196" s="90"/>
      <c r="IJ196" s="90"/>
      <c r="IK196" s="90"/>
      <c r="IL196" s="90"/>
      <c r="IM196" s="90"/>
      <c r="IN196" s="90"/>
      <c r="IO196" s="90"/>
      <c r="IP196" s="90"/>
      <c r="IQ196" s="90"/>
      <c r="IR196" s="90"/>
      <c r="IS196" s="90"/>
      <c r="IT196" s="90"/>
    </row>
    <row r="197" spans="1:254" ht="12" customHeight="1" thickBot="1" x14ac:dyDescent="0.25">
      <c r="A197" s="73"/>
      <c r="B197" s="304"/>
      <c r="C197" s="72">
        <v>5</v>
      </c>
      <c r="D197" s="299" t="str">
        <f>IF(Team1!H22="","",Team1!H22)</f>
        <v>Campbell Smyth</v>
      </c>
      <c r="E197" s="307"/>
      <c r="F197" s="228">
        <v>28.1</v>
      </c>
      <c r="G197" s="229">
        <v>5</v>
      </c>
      <c r="H197" s="233">
        <f t="shared" si="29"/>
        <v>2</v>
      </c>
      <c r="I197" s="302"/>
      <c r="J197" s="302"/>
      <c r="K197" s="298"/>
      <c r="L197" s="90"/>
      <c r="N197" s="90" t="s">
        <v>158</v>
      </c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  <c r="HA197" s="90"/>
      <c r="HB197" s="90"/>
      <c r="HC197" s="90"/>
      <c r="HD197" s="90"/>
      <c r="HE197" s="90"/>
      <c r="HF197" s="90"/>
      <c r="HG197" s="90"/>
      <c r="HH197" s="90"/>
      <c r="HI197" s="90"/>
      <c r="HJ197" s="90"/>
      <c r="HK197" s="90"/>
      <c r="HL197" s="90"/>
      <c r="HM197" s="90"/>
      <c r="HN197" s="90"/>
      <c r="HO197" s="90"/>
      <c r="HP197" s="90"/>
      <c r="HQ197" s="90"/>
      <c r="HR197" s="90"/>
      <c r="HS197" s="90"/>
      <c r="HT197" s="90"/>
      <c r="HU197" s="90"/>
      <c r="HV197" s="90"/>
      <c r="HW197" s="90"/>
      <c r="HX197" s="90"/>
      <c r="HY197" s="90"/>
      <c r="HZ197" s="90"/>
      <c r="IA197" s="90"/>
      <c r="IB197" s="90"/>
      <c r="IC197" s="90"/>
      <c r="ID197" s="90"/>
      <c r="IE197" s="90"/>
      <c r="IF197" s="90"/>
      <c r="IG197" s="90"/>
      <c r="IH197" s="90"/>
      <c r="II197" s="90"/>
      <c r="IJ197" s="90"/>
      <c r="IK197" s="90"/>
      <c r="IL197" s="90"/>
      <c r="IM197" s="90"/>
      <c r="IN197" s="90"/>
      <c r="IO197" s="90"/>
      <c r="IP197" s="90"/>
      <c r="IQ197" s="90"/>
      <c r="IR197" s="90"/>
      <c r="IS197" s="90"/>
      <c r="IT197" s="90"/>
    </row>
    <row r="198" spans="1:254" ht="12" customHeight="1" x14ac:dyDescent="0.2">
      <c r="A198" s="69"/>
      <c r="B198" s="303" t="str">
        <f>Team2!$C$4</f>
        <v>Lisburn</v>
      </c>
      <c r="C198" s="70">
        <v>4</v>
      </c>
      <c r="D198" s="338" t="str">
        <f>IF(Team2!C23="","",Team2!C23)</f>
        <v>Zara Hopkins</v>
      </c>
      <c r="E198" s="339"/>
      <c r="F198" s="226">
        <v>18.760000000000002</v>
      </c>
      <c r="G198" s="227">
        <v>1</v>
      </c>
      <c r="H198" s="232">
        <f>IF(G198="","",IF(G198=6,1,IF(G198=5,2,IF(G198=4,3,IF(G198=3,4,IF(G198=2,5,6))))))</f>
        <v>6</v>
      </c>
      <c r="I198" s="297">
        <f>IF(SUM(H198:H199)=0,"",SUM(H198:H199))</f>
        <v>8</v>
      </c>
      <c r="J198" s="301"/>
      <c r="K198" s="301"/>
      <c r="L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  <c r="HA198" s="90"/>
      <c r="HB198" s="90"/>
      <c r="HC198" s="90"/>
      <c r="HD198" s="90"/>
      <c r="HE198" s="90"/>
      <c r="HF198" s="90"/>
      <c r="HG198" s="90"/>
      <c r="HH198" s="90"/>
      <c r="HI198" s="90"/>
      <c r="HJ198" s="90"/>
      <c r="HK198" s="90"/>
      <c r="HL198" s="90"/>
      <c r="HM198" s="90"/>
      <c r="HN198" s="90"/>
      <c r="HO198" s="90"/>
      <c r="HP198" s="90"/>
      <c r="HQ198" s="90"/>
      <c r="HR198" s="90"/>
      <c r="HS198" s="90"/>
      <c r="HT198" s="90"/>
      <c r="HU198" s="90"/>
      <c r="HV198" s="90"/>
      <c r="HW198" s="90"/>
      <c r="HX198" s="90"/>
      <c r="HY198" s="90"/>
      <c r="HZ198" s="90"/>
      <c r="IA198" s="90"/>
      <c r="IB198" s="90"/>
      <c r="IC198" s="90"/>
      <c r="ID198" s="90"/>
      <c r="IE198" s="90"/>
      <c r="IF198" s="90"/>
      <c r="IG198" s="90"/>
      <c r="IH198" s="90"/>
      <c r="II198" s="90"/>
      <c r="IJ198" s="90"/>
      <c r="IK198" s="90"/>
      <c r="IL198" s="90"/>
      <c r="IM198" s="90"/>
      <c r="IN198" s="90"/>
      <c r="IO198" s="90"/>
      <c r="IP198" s="90"/>
      <c r="IQ198" s="90"/>
      <c r="IR198" s="90"/>
      <c r="IS198" s="90"/>
      <c r="IT198" s="90"/>
    </row>
    <row r="199" spans="1:254" ht="12" customHeight="1" thickBot="1" x14ac:dyDescent="0.25">
      <c r="A199" s="71">
        <v>23</v>
      </c>
      <c r="B199" s="304"/>
      <c r="C199" s="72">
        <v>1</v>
      </c>
      <c r="D199" s="299" t="str">
        <f>IF(Team2!D23="","",Team2!D23)</f>
        <v>Poppy Jeffers</v>
      </c>
      <c r="E199" s="307"/>
      <c r="F199" s="228">
        <v>21.31</v>
      </c>
      <c r="G199" s="229">
        <v>5</v>
      </c>
      <c r="H199" s="233">
        <f t="shared" ref="H199:H203" si="30">IF(G199="","",IF(G199=6,1,IF(G199=5,2,IF(G199=4,3,IF(G199=3,4,IF(G199=2,5,6))))))</f>
        <v>2</v>
      </c>
      <c r="I199" s="298"/>
      <c r="J199" s="302"/>
      <c r="K199" s="302"/>
      <c r="L199" s="90"/>
      <c r="N199" s="90" t="s">
        <v>160</v>
      </c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  <c r="HA199" s="90"/>
      <c r="HB199" s="90"/>
      <c r="HC199" s="90"/>
      <c r="HD199" s="90"/>
      <c r="HE199" s="90"/>
      <c r="HF199" s="90"/>
      <c r="HG199" s="90"/>
      <c r="HH199" s="90"/>
      <c r="HI199" s="90"/>
      <c r="HJ199" s="90"/>
      <c r="HK199" s="90"/>
      <c r="HL199" s="90"/>
      <c r="HM199" s="90"/>
      <c r="HN199" s="90"/>
      <c r="HO199" s="90"/>
      <c r="HP199" s="90"/>
      <c r="HQ199" s="90"/>
      <c r="HR199" s="90"/>
      <c r="HS199" s="90"/>
      <c r="HT199" s="90"/>
      <c r="HU199" s="90"/>
      <c r="HV199" s="90"/>
      <c r="HW199" s="90"/>
      <c r="HX199" s="90"/>
      <c r="HY199" s="90"/>
      <c r="HZ199" s="90"/>
      <c r="IA199" s="90"/>
      <c r="IB199" s="90"/>
      <c r="IC199" s="90"/>
      <c r="ID199" s="90"/>
      <c r="IE199" s="90"/>
      <c r="IF199" s="90"/>
      <c r="IG199" s="90"/>
      <c r="IH199" s="90"/>
      <c r="II199" s="90"/>
      <c r="IJ199" s="90"/>
      <c r="IK199" s="90"/>
      <c r="IL199" s="90"/>
      <c r="IM199" s="90"/>
      <c r="IN199" s="90"/>
      <c r="IO199" s="90"/>
      <c r="IP199" s="90"/>
      <c r="IQ199" s="90"/>
      <c r="IR199" s="90"/>
      <c r="IS199" s="90"/>
      <c r="IT199" s="90"/>
    </row>
    <row r="200" spans="1:254" ht="12.95" customHeight="1" x14ac:dyDescent="0.2">
      <c r="A200" s="71" t="s">
        <v>26</v>
      </c>
      <c r="B200" s="305" t="str">
        <f>Team3!$C$4</f>
        <v>Limavady</v>
      </c>
      <c r="C200" s="72">
        <v>3</v>
      </c>
      <c r="D200" s="299" t="str">
        <f>IF(Team3!C23="","",Team3!C23)</f>
        <v>Alice Caldwell</v>
      </c>
      <c r="E200" s="307"/>
      <c r="F200" s="228">
        <v>20.72</v>
      </c>
      <c r="G200" s="229">
        <v>3</v>
      </c>
      <c r="H200" s="233">
        <f t="shared" si="30"/>
        <v>4</v>
      </c>
      <c r="I200" s="301"/>
      <c r="J200" s="297">
        <f>IF(SUM(H200:H201)=0,"",SUM(H200:H201))</f>
        <v>5</v>
      </c>
      <c r="K200" s="301"/>
      <c r="L200" s="90"/>
      <c r="N200" s="90" t="s">
        <v>161</v>
      </c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  <c r="HA200" s="90"/>
      <c r="HB200" s="90"/>
      <c r="HC200" s="90"/>
      <c r="HD200" s="90"/>
      <c r="HE200" s="90"/>
      <c r="HF200" s="90"/>
      <c r="HG200" s="90"/>
      <c r="HH200" s="90"/>
      <c r="HI200" s="90"/>
      <c r="HJ200" s="90"/>
      <c r="HK200" s="90"/>
      <c r="HL200" s="90"/>
      <c r="HM200" s="90"/>
      <c r="HN200" s="90"/>
      <c r="HO200" s="90"/>
      <c r="HP200" s="90"/>
      <c r="HQ200" s="90"/>
      <c r="HR200" s="90"/>
      <c r="HS200" s="90"/>
      <c r="HT200" s="90"/>
      <c r="HU200" s="90"/>
      <c r="HV200" s="90"/>
      <c r="HW200" s="90"/>
      <c r="HX200" s="90"/>
      <c r="HY200" s="90"/>
      <c r="HZ200" s="90"/>
      <c r="IA200" s="90"/>
      <c r="IB200" s="90"/>
      <c r="IC200" s="90"/>
      <c r="ID200" s="90"/>
      <c r="IE200" s="90"/>
      <c r="IF200" s="90"/>
      <c r="IG200" s="90"/>
      <c r="IH200" s="90"/>
      <c r="II200" s="90"/>
      <c r="IJ200" s="90"/>
      <c r="IK200" s="90"/>
      <c r="IL200" s="90"/>
      <c r="IM200" s="90"/>
      <c r="IN200" s="90"/>
      <c r="IO200" s="90"/>
      <c r="IP200" s="90"/>
      <c r="IQ200" s="90"/>
      <c r="IR200" s="90"/>
      <c r="IS200" s="90"/>
      <c r="IT200" s="90"/>
    </row>
    <row r="201" spans="1:254" ht="12.95" customHeight="1" thickBot="1" x14ac:dyDescent="0.25">
      <c r="A201" s="71" t="s">
        <v>31</v>
      </c>
      <c r="B201" s="306"/>
      <c r="C201" s="72">
        <v>6</v>
      </c>
      <c r="D201" s="299" t="str">
        <f>IF(Team3!D23="","",Team3!D23)</f>
        <v>Katie Keown</v>
      </c>
      <c r="E201" s="307"/>
      <c r="F201" s="228">
        <v>23.25</v>
      </c>
      <c r="G201" s="229">
        <v>6</v>
      </c>
      <c r="H201" s="233">
        <f t="shared" si="30"/>
        <v>1</v>
      </c>
      <c r="I201" s="302"/>
      <c r="J201" s="298"/>
      <c r="K201" s="302"/>
      <c r="L201" s="90"/>
      <c r="N201" s="90" t="s">
        <v>162</v>
      </c>
      <c r="O201" s="90"/>
      <c r="P201" s="90"/>
      <c r="Q201" s="90">
        <f>(6+5+4)/3</f>
        <v>5</v>
      </c>
      <c r="R201" s="90" t="s">
        <v>155</v>
      </c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  <c r="HA201" s="90"/>
      <c r="HB201" s="90"/>
      <c r="HC201" s="90"/>
      <c r="HD201" s="90"/>
      <c r="HE201" s="90"/>
      <c r="HF201" s="90"/>
      <c r="HG201" s="90"/>
      <c r="HH201" s="90"/>
      <c r="HI201" s="90"/>
      <c r="HJ201" s="90"/>
      <c r="HK201" s="90"/>
      <c r="HL201" s="90"/>
      <c r="HM201" s="90"/>
      <c r="HN201" s="90"/>
      <c r="HO201" s="90"/>
      <c r="HP201" s="90"/>
      <c r="HQ201" s="90"/>
      <c r="HR201" s="90"/>
      <c r="HS201" s="90"/>
      <c r="HT201" s="90"/>
      <c r="HU201" s="90"/>
      <c r="HV201" s="90"/>
      <c r="HW201" s="90"/>
      <c r="HX201" s="90"/>
      <c r="HY201" s="90"/>
      <c r="HZ201" s="90"/>
      <c r="IA201" s="90"/>
      <c r="IB201" s="90"/>
      <c r="IC201" s="90"/>
      <c r="ID201" s="90"/>
      <c r="IE201" s="90"/>
      <c r="IF201" s="90"/>
      <c r="IG201" s="90"/>
      <c r="IH201" s="90"/>
      <c r="II201" s="90"/>
      <c r="IJ201" s="90"/>
      <c r="IK201" s="90"/>
      <c r="IL201" s="90"/>
      <c r="IM201" s="90"/>
      <c r="IN201" s="90"/>
      <c r="IO201" s="90"/>
      <c r="IP201" s="90"/>
      <c r="IQ201" s="90"/>
      <c r="IR201" s="90"/>
      <c r="IS201" s="90"/>
      <c r="IT201" s="90"/>
    </row>
    <row r="202" spans="1:254" ht="12" customHeight="1" x14ac:dyDescent="0.2">
      <c r="A202" s="71"/>
      <c r="B202" s="313" t="str">
        <f>Team1!$C$4</f>
        <v>Coleraine</v>
      </c>
      <c r="C202" s="174">
        <v>2</v>
      </c>
      <c r="D202" s="299" t="str">
        <f>IF(Team1!C23="","",Team1!C23)</f>
        <v>Erin Isley</v>
      </c>
      <c r="E202" s="307"/>
      <c r="F202" s="228">
        <v>19.66</v>
      </c>
      <c r="G202" s="229">
        <v>2</v>
      </c>
      <c r="H202" s="233">
        <f t="shared" si="30"/>
        <v>5</v>
      </c>
      <c r="I202" s="301"/>
      <c r="J202" s="301"/>
      <c r="K202" s="297">
        <f>IF(SUM(H202:H203)=0,"",SUM(H202:H203))</f>
        <v>8</v>
      </c>
      <c r="L202" s="90"/>
      <c r="N202" s="90" t="s">
        <v>153</v>
      </c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  <c r="HA202" s="90"/>
      <c r="HB202" s="90"/>
      <c r="HC202" s="90"/>
      <c r="HD202" s="90"/>
      <c r="HE202" s="90"/>
      <c r="HF202" s="90"/>
      <c r="HG202" s="90"/>
      <c r="HH202" s="90"/>
      <c r="HI202" s="90"/>
      <c r="HJ202" s="90"/>
      <c r="HK202" s="90"/>
      <c r="HL202" s="90"/>
      <c r="HM202" s="90"/>
      <c r="HN202" s="90"/>
      <c r="HO202" s="90"/>
      <c r="HP202" s="90"/>
      <c r="HQ202" s="90"/>
      <c r="HR202" s="90"/>
      <c r="HS202" s="90"/>
      <c r="HT202" s="90"/>
      <c r="HU202" s="90"/>
      <c r="HV202" s="90"/>
      <c r="HW202" s="90"/>
      <c r="HX202" s="90"/>
      <c r="HY202" s="90"/>
      <c r="HZ202" s="90"/>
      <c r="IA202" s="90"/>
      <c r="IB202" s="90"/>
      <c r="IC202" s="90"/>
      <c r="ID202" s="90"/>
      <c r="IE202" s="90"/>
      <c r="IF202" s="90"/>
      <c r="IG202" s="90"/>
      <c r="IH202" s="90"/>
      <c r="II202" s="90"/>
      <c r="IJ202" s="90"/>
      <c r="IK202" s="90"/>
      <c r="IL202" s="90"/>
      <c r="IM202" s="90"/>
      <c r="IN202" s="90"/>
      <c r="IO202" s="90"/>
      <c r="IP202" s="90"/>
      <c r="IQ202" s="90"/>
      <c r="IR202" s="90"/>
      <c r="IS202" s="90"/>
      <c r="IT202" s="90"/>
    </row>
    <row r="203" spans="1:254" ht="12" customHeight="1" thickBot="1" x14ac:dyDescent="0.25">
      <c r="A203" s="73"/>
      <c r="B203" s="304"/>
      <c r="C203" s="72">
        <v>5</v>
      </c>
      <c r="D203" s="299" t="str">
        <f>IF(Team1!D23="","",Team1!D23)</f>
        <v>Eva Marran</v>
      </c>
      <c r="E203" s="307"/>
      <c r="F203" s="228">
        <v>21.08</v>
      </c>
      <c r="G203" s="229">
        <v>4</v>
      </c>
      <c r="H203" s="233">
        <f t="shared" si="30"/>
        <v>3</v>
      </c>
      <c r="I203" s="302"/>
      <c r="J203" s="302"/>
      <c r="K203" s="298"/>
      <c r="L203" s="90"/>
      <c r="N203" s="90" t="s">
        <v>163</v>
      </c>
      <c r="O203" s="90"/>
      <c r="P203" s="90"/>
      <c r="Q203" s="90">
        <f>(5+4+3)/3</f>
        <v>4</v>
      </c>
      <c r="R203" s="90" t="s">
        <v>155</v>
      </c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  <c r="HA203" s="90"/>
      <c r="HB203" s="90"/>
      <c r="HC203" s="90"/>
      <c r="HD203" s="90"/>
      <c r="HE203" s="90"/>
      <c r="HF203" s="90"/>
      <c r="HG203" s="90"/>
      <c r="HH203" s="90"/>
      <c r="HI203" s="90"/>
      <c r="HJ203" s="90"/>
      <c r="HK203" s="90"/>
      <c r="HL203" s="90"/>
      <c r="HM203" s="90"/>
      <c r="HN203" s="90"/>
      <c r="HO203" s="90"/>
      <c r="HP203" s="90"/>
      <c r="HQ203" s="90"/>
      <c r="HR203" s="90"/>
      <c r="HS203" s="90"/>
      <c r="HT203" s="90"/>
      <c r="HU203" s="90"/>
      <c r="HV203" s="90"/>
      <c r="HW203" s="90"/>
      <c r="HX203" s="90"/>
      <c r="HY203" s="90"/>
      <c r="HZ203" s="90"/>
      <c r="IA203" s="90"/>
      <c r="IB203" s="90"/>
      <c r="IC203" s="90"/>
      <c r="ID203" s="90"/>
      <c r="IE203" s="90"/>
      <c r="IF203" s="90"/>
      <c r="IG203" s="90"/>
      <c r="IH203" s="90"/>
      <c r="II203" s="90"/>
      <c r="IJ203" s="90"/>
      <c r="IK203" s="90"/>
      <c r="IL203" s="90"/>
      <c r="IM203" s="90"/>
      <c r="IN203" s="90"/>
      <c r="IO203" s="90"/>
      <c r="IP203" s="90"/>
      <c r="IQ203" s="90"/>
      <c r="IR203" s="90"/>
      <c r="IS203" s="90"/>
      <c r="IT203" s="90"/>
    </row>
    <row r="204" spans="1:254" ht="12" customHeight="1" x14ac:dyDescent="0.2">
      <c r="A204" s="69"/>
      <c r="B204" s="303" t="str">
        <f>Team2!$C$4</f>
        <v>Lisburn</v>
      </c>
      <c r="C204" s="70">
        <v>4</v>
      </c>
      <c r="D204" s="338" t="str">
        <f>IF(Team2!G23="","",Team2!G23)</f>
        <v>Luke Coleman</v>
      </c>
      <c r="E204" s="339"/>
      <c r="F204" s="226">
        <v>21.04</v>
      </c>
      <c r="G204" s="227">
        <v>4</v>
      </c>
      <c r="H204" s="232">
        <f>IF(G204="","",IF(G204=6,1,IF(G204=5,2,IF(G204=4,3,IF(G204=3,4,IF(G204=2,5,6))))))</f>
        <v>3</v>
      </c>
      <c r="I204" s="297">
        <f>IF(SUM(H204:H205)=0,"",SUM(H204:H205))</f>
        <v>5</v>
      </c>
      <c r="J204" s="301"/>
      <c r="K204" s="301"/>
      <c r="L204" s="90"/>
      <c r="N204" s="90" t="s">
        <v>154</v>
      </c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  <c r="HA204" s="90"/>
      <c r="HB204" s="90"/>
      <c r="HC204" s="90"/>
      <c r="HD204" s="90"/>
      <c r="HE204" s="90"/>
      <c r="HF204" s="90"/>
      <c r="HG204" s="90"/>
      <c r="HH204" s="90"/>
      <c r="HI204" s="90"/>
      <c r="HJ204" s="90"/>
      <c r="HK204" s="90"/>
      <c r="HL204" s="90"/>
      <c r="HM204" s="90"/>
      <c r="HN204" s="90"/>
      <c r="HO204" s="90"/>
      <c r="HP204" s="90"/>
      <c r="HQ204" s="90"/>
      <c r="HR204" s="90"/>
      <c r="HS204" s="90"/>
      <c r="HT204" s="90"/>
      <c r="HU204" s="90"/>
      <c r="HV204" s="90"/>
      <c r="HW204" s="90"/>
      <c r="HX204" s="90"/>
      <c r="HY204" s="90"/>
      <c r="HZ204" s="90"/>
      <c r="IA204" s="90"/>
      <c r="IB204" s="90"/>
      <c r="IC204" s="90"/>
      <c r="ID204" s="90"/>
      <c r="IE204" s="90"/>
      <c r="IF204" s="90"/>
      <c r="IG204" s="90"/>
      <c r="IH204" s="90"/>
      <c r="II204" s="90"/>
      <c r="IJ204" s="90"/>
      <c r="IK204" s="90"/>
      <c r="IL204" s="90"/>
      <c r="IM204" s="90"/>
      <c r="IN204" s="90"/>
      <c r="IO204" s="90"/>
      <c r="IP204" s="90"/>
      <c r="IQ204" s="90"/>
      <c r="IR204" s="90"/>
      <c r="IS204" s="90"/>
      <c r="IT204" s="90"/>
    </row>
    <row r="205" spans="1:254" ht="12" customHeight="1" thickBot="1" x14ac:dyDescent="0.25">
      <c r="A205" s="71">
        <v>24</v>
      </c>
      <c r="B205" s="304"/>
      <c r="C205" s="72">
        <v>1</v>
      </c>
      <c r="D205" s="299" t="str">
        <f>IF(Team2!H23="","",Team2!H23)</f>
        <v>Charlie Williamson</v>
      </c>
      <c r="E205" s="307"/>
      <c r="F205" s="228">
        <v>23.72</v>
      </c>
      <c r="G205" s="229">
        <v>5</v>
      </c>
      <c r="H205" s="233">
        <f t="shared" ref="H205:H209" si="31">IF(G205="","",IF(G205=6,1,IF(G205=5,2,IF(G205=4,3,IF(G205=3,4,IF(G205=2,5,6))))))</f>
        <v>2</v>
      </c>
      <c r="I205" s="298"/>
      <c r="J205" s="302"/>
      <c r="K205" s="302"/>
      <c r="L205" s="90"/>
      <c r="N205" s="90" t="s">
        <v>164</v>
      </c>
      <c r="O205" s="90"/>
      <c r="P205" s="90"/>
      <c r="Q205" s="90">
        <f>(4+3+2)/3</f>
        <v>3</v>
      </c>
      <c r="R205" s="90" t="s">
        <v>155</v>
      </c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  <c r="HA205" s="90"/>
      <c r="HB205" s="90"/>
      <c r="HC205" s="90"/>
      <c r="HD205" s="90"/>
      <c r="HE205" s="90"/>
      <c r="HF205" s="90"/>
      <c r="HG205" s="90"/>
      <c r="HH205" s="90"/>
      <c r="HI205" s="90"/>
      <c r="HJ205" s="90"/>
      <c r="HK205" s="90"/>
      <c r="HL205" s="90"/>
      <c r="HM205" s="90"/>
      <c r="HN205" s="90"/>
      <c r="HO205" s="90"/>
      <c r="HP205" s="90"/>
      <c r="HQ205" s="90"/>
      <c r="HR205" s="90"/>
      <c r="HS205" s="90"/>
      <c r="HT205" s="90"/>
      <c r="HU205" s="90"/>
      <c r="HV205" s="90"/>
      <c r="HW205" s="90"/>
      <c r="HX205" s="90"/>
      <c r="HY205" s="90"/>
      <c r="HZ205" s="90"/>
      <c r="IA205" s="90"/>
      <c r="IB205" s="90"/>
      <c r="IC205" s="90"/>
      <c r="ID205" s="90"/>
      <c r="IE205" s="90"/>
      <c r="IF205" s="90"/>
      <c r="IG205" s="90"/>
      <c r="IH205" s="90"/>
      <c r="II205" s="90"/>
      <c r="IJ205" s="90"/>
      <c r="IK205" s="90"/>
      <c r="IL205" s="90"/>
      <c r="IM205" s="90"/>
      <c r="IN205" s="90"/>
      <c r="IO205" s="90"/>
      <c r="IP205" s="90"/>
      <c r="IQ205" s="90"/>
      <c r="IR205" s="90"/>
      <c r="IS205" s="90"/>
      <c r="IT205" s="90"/>
    </row>
    <row r="206" spans="1:254" ht="12.75" customHeight="1" x14ac:dyDescent="0.2">
      <c r="A206" s="71" t="s">
        <v>26</v>
      </c>
      <c r="B206" s="305" t="str">
        <f>Team3!$C$4</f>
        <v>Limavady</v>
      </c>
      <c r="C206" s="72">
        <v>3</v>
      </c>
      <c r="D206" s="299" t="str">
        <f>IF(Team3!G23="","",Team3!G23)</f>
        <v>Sam Staats Howard</v>
      </c>
      <c r="E206" s="307"/>
      <c r="F206" s="228">
        <v>19.34</v>
      </c>
      <c r="G206" s="229">
        <v>1</v>
      </c>
      <c r="H206" s="233">
        <f t="shared" si="31"/>
        <v>6</v>
      </c>
      <c r="I206" s="301"/>
      <c r="J206" s="297">
        <f>IF(SUM(H206:H207)=0,"",SUM(H206:H207))</f>
        <v>10</v>
      </c>
      <c r="K206" s="301"/>
      <c r="L206" s="90"/>
      <c r="N206" s="90" t="s">
        <v>157</v>
      </c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  <c r="HA206" s="90"/>
      <c r="HB206" s="90"/>
      <c r="HC206" s="90"/>
      <c r="HD206" s="90"/>
      <c r="HE206" s="90"/>
      <c r="HF206" s="90"/>
      <c r="HG206" s="90"/>
      <c r="HH206" s="90"/>
      <c r="HI206" s="90"/>
      <c r="HJ206" s="90"/>
      <c r="HK206" s="90"/>
      <c r="HL206" s="90"/>
      <c r="HM206" s="90"/>
      <c r="HN206" s="90"/>
      <c r="HO206" s="90"/>
      <c r="HP206" s="90"/>
      <c r="HQ206" s="90"/>
      <c r="HR206" s="90"/>
      <c r="HS206" s="90"/>
      <c r="HT206" s="90"/>
      <c r="HU206" s="90"/>
      <c r="HV206" s="90"/>
      <c r="HW206" s="90"/>
      <c r="HX206" s="90"/>
      <c r="HY206" s="90"/>
      <c r="HZ206" s="90"/>
      <c r="IA206" s="90"/>
      <c r="IB206" s="90"/>
      <c r="IC206" s="90"/>
      <c r="ID206" s="90"/>
      <c r="IE206" s="90"/>
      <c r="IF206" s="90"/>
      <c r="IG206" s="90"/>
      <c r="IH206" s="90"/>
      <c r="II206" s="90"/>
      <c r="IJ206" s="90"/>
      <c r="IK206" s="90"/>
      <c r="IL206" s="90"/>
      <c r="IM206" s="90"/>
      <c r="IN206" s="90"/>
      <c r="IO206" s="90"/>
      <c r="IP206" s="90"/>
      <c r="IQ206" s="90"/>
      <c r="IR206" s="90"/>
      <c r="IS206" s="90"/>
      <c r="IT206" s="90"/>
    </row>
    <row r="207" spans="1:254" ht="12.75" customHeight="1" thickBot="1" x14ac:dyDescent="0.25">
      <c r="A207" s="71" t="s">
        <v>32</v>
      </c>
      <c r="B207" s="306"/>
      <c r="C207" s="72">
        <v>6</v>
      </c>
      <c r="D207" s="299" t="str">
        <f>IF(Team3!H23="","",Team3!H23)</f>
        <v>Kevin Mc Macken</v>
      </c>
      <c r="E207" s="307"/>
      <c r="F207" s="228">
        <v>19.91</v>
      </c>
      <c r="G207" s="229">
        <v>3</v>
      </c>
      <c r="H207" s="233">
        <f t="shared" si="31"/>
        <v>4</v>
      </c>
      <c r="I207" s="302"/>
      <c r="J207" s="298"/>
      <c r="K207" s="302"/>
      <c r="L207" s="90"/>
      <c r="N207" s="90" t="s">
        <v>165</v>
      </c>
      <c r="O207" s="90"/>
      <c r="P207" s="90"/>
      <c r="Q207" s="90">
        <f>(3+2+1)/3</f>
        <v>2</v>
      </c>
      <c r="R207" s="90" t="s">
        <v>155</v>
      </c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  <c r="HA207" s="90"/>
      <c r="HB207" s="90"/>
      <c r="HC207" s="90"/>
      <c r="HD207" s="90"/>
      <c r="HE207" s="90"/>
      <c r="HF207" s="90"/>
      <c r="HG207" s="90"/>
      <c r="HH207" s="90"/>
      <c r="HI207" s="90"/>
      <c r="HJ207" s="90"/>
      <c r="HK207" s="90"/>
      <c r="HL207" s="90"/>
      <c r="HM207" s="90"/>
      <c r="HN207" s="90"/>
      <c r="HO207" s="90"/>
      <c r="HP207" s="90"/>
      <c r="HQ207" s="90"/>
      <c r="HR207" s="90"/>
      <c r="HS207" s="90"/>
      <c r="HT207" s="90"/>
      <c r="HU207" s="90"/>
      <c r="HV207" s="90"/>
      <c r="HW207" s="90"/>
      <c r="HX207" s="90"/>
      <c r="HY207" s="90"/>
      <c r="HZ207" s="90"/>
      <c r="IA207" s="90"/>
      <c r="IB207" s="90"/>
      <c r="IC207" s="90"/>
      <c r="ID207" s="90"/>
      <c r="IE207" s="90"/>
      <c r="IF207" s="90"/>
      <c r="IG207" s="90"/>
      <c r="IH207" s="90"/>
      <c r="II207" s="90"/>
      <c r="IJ207" s="90"/>
      <c r="IK207" s="90"/>
      <c r="IL207" s="90"/>
      <c r="IM207" s="90"/>
      <c r="IN207" s="90"/>
      <c r="IO207" s="90"/>
      <c r="IP207" s="90"/>
      <c r="IQ207" s="90"/>
      <c r="IR207" s="90"/>
      <c r="IS207" s="90"/>
      <c r="IT207" s="90"/>
    </row>
    <row r="208" spans="1:254" ht="12" customHeight="1" x14ac:dyDescent="0.2">
      <c r="A208" s="71"/>
      <c r="B208" s="313" t="str">
        <f>Team1!$C$4</f>
        <v>Coleraine</v>
      </c>
      <c r="C208" s="174">
        <v>2</v>
      </c>
      <c r="D208" s="299" t="str">
        <f>IF(Team1!G23="","",Team1!G23)</f>
        <v>Reuben Turbitt</v>
      </c>
      <c r="E208" s="307"/>
      <c r="F208" s="228">
        <v>23.85</v>
      </c>
      <c r="G208" s="229">
        <v>6</v>
      </c>
      <c r="H208" s="233">
        <f t="shared" si="31"/>
        <v>1</v>
      </c>
      <c r="I208" s="301"/>
      <c r="J208" s="301"/>
      <c r="K208" s="297">
        <f>IF(SUM(H208:H209)=0,"",SUM(H208:H209))</f>
        <v>6</v>
      </c>
      <c r="L208" s="90"/>
      <c r="N208" s="90" t="s">
        <v>158</v>
      </c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  <c r="HA208" s="90"/>
      <c r="HB208" s="90"/>
      <c r="HC208" s="90"/>
      <c r="HD208" s="90"/>
      <c r="HE208" s="90"/>
      <c r="HF208" s="90"/>
      <c r="HG208" s="90"/>
      <c r="HH208" s="90"/>
      <c r="HI208" s="90"/>
      <c r="HJ208" s="90"/>
      <c r="HK208" s="90"/>
      <c r="HL208" s="90"/>
      <c r="HM208" s="90"/>
      <c r="HN208" s="90"/>
      <c r="HO208" s="90"/>
      <c r="HP208" s="90"/>
      <c r="HQ208" s="90"/>
      <c r="HR208" s="90"/>
      <c r="HS208" s="90"/>
      <c r="HT208" s="90"/>
      <c r="HU208" s="90"/>
      <c r="HV208" s="90"/>
      <c r="HW208" s="90"/>
      <c r="HX208" s="90"/>
      <c r="HY208" s="90"/>
      <c r="HZ208" s="90"/>
      <c r="IA208" s="90"/>
      <c r="IB208" s="90"/>
      <c r="IC208" s="90"/>
      <c r="ID208" s="90"/>
      <c r="IE208" s="90"/>
      <c r="IF208" s="90"/>
      <c r="IG208" s="90"/>
      <c r="IH208" s="90"/>
      <c r="II208" s="90"/>
      <c r="IJ208" s="90"/>
      <c r="IK208" s="90"/>
      <c r="IL208" s="90"/>
      <c r="IM208" s="90"/>
      <c r="IN208" s="90"/>
      <c r="IO208" s="90"/>
      <c r="IP208" s="90"/>
      <c r="IQ208" s="90"/>
      <c r="IR208" s="90"/>
      <c r="IS208" s="90"/>
      <c r="IT208" s="90"/>
    </row>
    <row r="209" spans="1:254" ht="12" customHeight="1" thickBot="1" x14ac:dyDescent="0.25">
      <c r="A209" s="73"/>
      <c r="B209" s="304"/>
      <c r="C209" s="72">
        <v>5</v>
      </c>
      <c r="D209" s="299" t="str">
        <f>IF(Team1!H23="","",Team1!H23)</f>
        <v>Noah McClelland</v>
      </c>
      <c r="E209" s="307"/>
      <c r="F209" s="228">
        <v>19.420000000000002</v>
      </c>
      <c r="G209" s="229">
        <v>2</v>
      </c>
      <c r="H209" s="233">
        <f t="shared" si="31"/>
        <v>5</v>
      </c>
      <c r="I209" s="302"/>
      <c r="J209" s="302"/>
      <c r="K209" s="298"/>
      <c r="L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  <c r="HA209" s="90"/>
      <c r="HB209" s="90"/>
      <c r="HC209" s="90"/>
      <c r="HD209" s="90"/>
      <c r="HE209" s="90"/>
      <c r="HF209" s="90"/>
      <c r="HG209" s="90"/>
      <c r="HH209" s="90"/>
      <c r="HI209" s="90"/>
      <c r="HJ209" s="90"/>
      <c r="HK209" s="90"/>
      <c r="HL209" s="90"/>
      <c r="HM209" s="90"/>
      <c r="HN209" s="90"/>
      <c r="HO209" s="90"/>
      <c r="HP209" s="90"/>
      <c r="HQ209" s="90"/>
      <c r="HR209" s="90"/>
      <c r="HS209" s="90"/>
      <c r="HT209" s="90"/>
      <c r="HU209" s="90"/>
      <c r="HV209" s="90"/>
      <c r="HW209" s="90"/>
      <c r="HX209" s="90"/>
      <c r="HY209" s="90"/>
      <c r="HZ209" s="90"/>
      <c r="IA209" s="90"/>
      <c r="IB209" s="90"/>
      <c r="IC209" s="90"/>
      <c r="ID209" s="90"/>
      <c r="IE209" s="90"/>
      <c r="IF209" s="90"/>
      <c r="IG209" s="90"/>
      <c r="IH209" s="90"/>
      <c r="II209" s="90"/>
      <c r="IJ209" s="90"/>
      <c r="IK209" s="90"/>
      <c r="IL209" s="90"/>
      <c r="IM209" s="90"/>
      <c r="IN209" s="90"/>
      <c r="IO209" s="90"/>
      <c r="IP209" s="90"/>
      <c r="IQ209" s="90"/>
      <c r="IR209" s="90"/>
      <c r="IS209" s="90"/>
      <c r="IT209" s="90"/>
    </row>
    <row r="210" spans="1:254" ht="12" customHeight="1" x14ac:dyDescent="0.2">
      <c r="A210" s="69"/>
      <c r="B210" s="303" t="str">
        <f>Team2!$C$4</f>
        <v>Lisburn</v>
      </c>
      <c r="C210" s="70">
        <v>4</v>
      </c>
      <c r="D210" s="338" t="str">
        <f>IF(Team2!C24="","",Team2!C24)</f>
        <v>Evie Lowry</v>
      </c>
      <c r="E210" s="339"/>
      <c r="F210" s="226">
        <v>20.29</v>
      </c>
      <c r="G210" s="227">
        <v>4</v>
      </c>
      <c r="H210" s="232">
        <f>IF(G210="","",IF(G210=6,1,IF(G210=5,2,IF(G210=4,3,IF(G210=3,4,IF(G210=2,5,6))))))</f>
        <v>3</v>
      </c>
      <c r="I210" s="297">
        <f>IF(SUM(H210:H211)=0,"",SUM(H210:H211))</f>
        <v>4</v>
      </c>
      <c r="J210" s="301"/>
      <c r="K210" s="301"/>
      <c r="L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  <c r="HA210" s="90"/>
      <c r="HB210" s="90"/>
      <c r="HC210" s="90"/>
      <c r="HD210" s="90"/>
      <c r="HE210" s="90"/>
      <c r="HF210" s="90"/>
      <c r="HG210" s="90"/>
      <c r="HH210" s="90"/>
      <c r="HI210" s="90"/>
      <c r="HJ210" s="90"/>
      <c r="HK210" s="90"/>
      <c r="HL210" s="90"/>
      <c r="HM210" s="90"/>
      <c r="HN210" s="90"/>
      <c r="HO210" s="90"/>
      <c r="HP210" s="90"/>
      <c r="HQ210" s="90"/>
      <c r="HR210" s="90"/>
      <c r="HS210" s="90"/>
      <c r="HT210" s="90"/>
      <c r="HU210" s="90"/>
      <c r="HV210" s="90"/>
      <c r="HW210" s="90"/>
      <c r="HX210" s="90"/>
      <c r="HY210" s="90"/>
      <c r="HZ210" s="90"/>
      <c r="IA210" s="90"/>
      <c r="IB210" s="90"/>
      <c r="IC210" s="90"/>
      <c r="ID210" s="90"/>
      <c r="IE210" s="90"/>
      <c r="IF210" s="90"/>
      <c r="IG210" s="90"/>
      <c r="IH210" s="90"/>
      <c r="II210" s="90"/>
      <c r="IJ210" s="90"/>
      <c r="IK210" s="90"/>
      <c r="IL210" s="90"/>
      <c r="IM210" s="90"/>
      <c r="IN210" s="90"/>
      <c r="IO210" s="90"/>
      <c r="IP210" s="90"/>
      <c r="IQ210" s="90"/>
      <c r="IR210" s="90"/>
      <c r="IS210" s="90"/>
      <c r="IT210" s="90"/>
    </row>
    <row r="211" spans="1:254" ht="12" customHeight="1" thickBot="1" x14ac:dyDescent="0.25">
      <c r="A211" s="71">
        <v>25</v>
      </c>
      <c r="B211" s="304"/>
      <c r="C211" s="72">
        <v>1</v>
      </c>
      <c r="D211" s="348" t="str">
        <f>IF(Team2!D24="","",Team2!D24)</f>
        <v>Katie Jeffers</v>
      </c>
      <c r="E211" s="307"/>
      <c r="F211" s="228">
        <v>21.1</v>
      </c>
      <c r="G211" s="229">
        <v>6</v>
      </c>
      <c r="H211" s="233">
        <f t="shared" ref="H211:H215" si="32">IF(G211="","",IF(G211=6,1,IF(G211=5,2,IF(G211=4,3,IF(G211=3,4,IF(G211=2,5,6))))))</f>
        <v>1</v>
      </c>
      <c r="I211" s="298"/>
      <c r="J211" s="302"/>
      <c r="K211" s="302"/>
      <c r="L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  <c r="HA211" s="90"/>
      <c r="HB211" s="90"/>
      <c r="HC211" s="90"/>
      <c r="HD211" s="90"/>
      <c r="HE211" s="90"/>
      <c r="HF211" s="90"/>
      <c r="HG211" s="90"/>
      <c r="HH211" s="90"/>
      <c r="HI211" s="90"/>
      <c r="HJ211" s="90"/>
      <c r="HK211" s="90"/>
      <c r="HL211" s="90"/>
      <c r="HM211" s="90"/>
      <c r="HN211" s="90"/>
      <c r="HO211" s="90"/>
      <c r="HP211" s="90"/>
      <c r="HQ211" s="90"/>
      <c r="HR211" s="90"/>
      <c r="HS211" s="90"/>
      <c r="HT211" s="90"/>
      <c r="HU211" s="90"/>
      <c r="HV211" s="90"/>
      <c r="HW211" s="90"/>
      <c r="HX211" s="90"/>
      <c r="HY211" s="90"/>
      <c r="HZ211" s="90"/>
      <c r="IA211" s="90"/>
      <c r="IB211" s="90"/>
      <c r="IC211" s="90"/>
      <c r="ID211" s="90"/>
      <c r="IE211" s="90"/>
      <c r="IF211" s="90"/>
      <c r="IG211" s="90"/>
      <c r="IH211" s="90"/>
      <c r="II211" s="90"/>
      <c r="IJ211" s="90"/>
      <c r="IK211" s="90"/>
      <c r="IL211" s="90"/>
      <c r="IM211" s="90"/>
      <c r="IN211" s="90"/>
      <c r="IO211" s="90"/>
      <c r="IP211" s="90"/>
      <c r="IQ211" s="90"/>
      <c r="IR211" s="90"/>
      <c r="IS211" s="90"/>
      <c r="IT211" s="90"/>
    </row>
    <row r="212" spans="1:254" ht="12" customHeight="1" x14ac:dyDescent="0.2">
      <c r="A212" s="71" t="s">
        <v>27</v>
      </c>
      <c r="B212" s="305" t="str">
        <f>Team3!$C$4</f>
        <v>Limavady</v>
      </c>
      <c r="C212" s="72">
        <v>3</v>
      </c>
      <c r="D212" s="348" t="str">
        <f>IF(Team3!C24="","",Team3!C24)</f>
        <v>Anna Mc Gookin</v>
      </c>
      <c r="E212" s="307"/>
      <c r="F212" s="228">
        <v>18.41</v>
      </c>
      <c r="G212" s="229">
        <v>1</v>
      </c>
      <c r="H212" s="233">
        <f t="shared" si="32"/>
        <v>6</v>
      </c>
      <c r="I212" s="301"/>
      <c r="J212" s="297">
        <f>IF(SUM(H212:H213)=0,"",SUM(H212:H213))</f>
        <v>10</v>
      </c>
      <c r="K212" s="301"/>
      <c r="L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  <c r="HA212" s="90"/>
      <c r="HB212" s="90"/>
      <c r="HC212" s="90"/>
      <c r="HD212" s="90"/>
      <c r="HE212" s="90"/>
      <c r="HF212" s="90"/>
      <c r="HG212" s="90"/>
      <c r="HH212" s="90"/>
      <c r="HI212" s="90"/>
      <c r="HJ212" s="90"/>
      <c r="HK212" s="90"/>
      <c r="HL212" s="90"/>
      <c r="HM212" s="90"/>
      <c r="HN212" s="90"/>
      <c r="HO212" s="90"/>
      <c r="HP212" s="90"/>
      <c r="HQ212" s="90"/>
      <c r="HR212" s="90"/>
      <c r="HS212" s="90"/>
      <c r="HT212" s="90"/>
      <c r="HU212" s="90"/>
      <c r="HV212" s="90"/>
      <c r="HW212" s="90"/>
      <c r="HX212" s="90"/>
      <c r="HY212" s="90"/>
      <c r="HZ212" s="90"/>
      <c r="IA212" s="90"/>
      <c r="IB212" s="90"/>
      <c r="IC212" s="90"/>
      <c r="ID212" s="90"/>
      <c r="IE212" s="90"/>
      <c r="IF212" s="90"/>
      <c r="IG212" s="90"/>
      <c r="IH212" s="90"/>
      <c r="II212" s="90"/>
      <c r="IJ212" s="90"/>
      <c r="IK212" s="90"/>
      <c r="IL212" s="90"/>
      <c r="IM212" s="90"/>
      <c r="IN212" s="90"/>
      <c r="IO212" s="90"/>
      <c r="IP212" s="90"/>
      <c r="IQ212" s="90"/>
      <c r="IR212" s="90"/>
      <c r="IS212" s="90"/>
      <c r="IT212" s="90"/>
    </row>
    <row r="213" spans="1:254" ht="12" customHeight="1" thickBot="1" x14ac:dyDescent="0.25">
      <c r="A213" s="71" t="s">
        <v>31</v>
      </c>
      <c r="B213" s="306"/>
      <c r="C213" s="72">
        <v>6</v>
      </c>
      <c r="D213" s="348" t="str">
        <f>IF(Team3!D24="","",Team3!D24)</f>
        <v>Brooke Mc Clamont</v>
      </c>
      <c r="E213" s="307"/>
      <c r="F213" s="228">
        <v>20.29</v>
      </c>
      <c r="G213" s="229">
        <v>3</v>
      </c>
      <c r="H213" s="233">
        <f t="shared" si="32"/>
        <v>4</v>
      </c>
      <c r="I213" s="302"/>
      <c r="J213" s="298"/>
      <c r="K213" s="302"/>
      <c r="L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  <c r="HA213" s="90"/>
      <c r="HB213" s="90"/>
      <c r="HC213" s="90"/>
      <c r="HD213" s="90"/>
      <c r="HE213" s="90"/>
      <c r="HF213" s="90"/>
      <c r="HG213" s="90"/>
      <c r="HH213" s="90"/>
      <c r="HI213" s="90"/>
      <c r="HJ213" s="90"/>
      <c r="HK213" s="90"/>
      <c r="HL213" s="90"/>
      <c r="HM213" s="90"/>
      <c r="HN213" s="90"/>
      <c r="HO213" s="90"/>
      <c r="HP213" s="90"/>
      <c r="HQ213" s="90"/>
      <c r="HR213" s="90"/>
      <c r="HS213" s="90"/>
      <c r="HT213" s="90"/>
      <c r="HU213" s="90"/>
      <c r="HV213" s="90"/>
      <c r="HW213" s="90"/>
      <c r="HX213" s="90"/>
      <c r="HY213" s="90"/>
      <c r="HZ213" s="90"/>
      <c r="IA213" s="90"/>
      <c r="IB213" s="90"/>
      <c r="IC213" s="90"/>
      <c r="ID213" s="90"/>
      <c r="IE213" s="90"/>
      <c r="IF213" s="90"/>
      <c r="IG213" s="90"/>
      <c r="IH213" s="90"/>
      <c r="II213" s="90"/>
      <c r="IJ213" s="90"/>
      <c r="IK213" s="90"/>
      <c r="IL213" s="90"/>
      <c r="IM213" s="90"/>
      <c r="IN213" s="90"/>
      <c r="IO213" s="90"/>
      <c r="IP213" s="90"/>
      <c r="IQ213" s="90"/>
      <c r="IR213" s="90"/>
      <c r="IS213" s="90"/>
      <c r="IT213" s="90"/>
    </row>
    <row r="214" spans="1:254" ht="12.95" customHeight="1" x14ac:dyDescent="0.2">
      <c r="A214" s="71"/>
      <c r="B214" s="313" t="str">
        <f>Team1!$C$4</f>
        <v>Coleraine</v>
      </c>
      <c r="C214" s="174">
        <v>2</v>
      </c>
      <c r="D214" s="299" t="str">
        <f>IF(Team1!C24="","",Team1!C24)</f>
        <v>Lily Jones</v>
      </c>
      <c r="E214" s="307" t="str">
        <f>IF(Team1!D187="","",Team1!D187)</f>
        <v/>
      </c>
      <c r="F214" s="228">
        <v>20.87</v>
      </c>
      <c r="G214" s="229">
        <v>5</v>
      </c>
      <c r="H214" s="233">
        <f t="shared" si="32"/>
        <v>2</v>
      </c>
      <c r="I214" s="301"/>
      <c r="J214" s="301"/>
      <c r="K214" s="297">
        <f>IF(SUM(H214:H215)=0,"",SUM(H214:H215))</f>
        <v>7</v>
      </c>
      <c r="L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  <c r="HA214" s="90"/>
      <c r="HB214" s="90"/>
      <c r="HC214" s="90"/>
      <c r="HD214" s="90"/>
      <c r="HE214" s="90"/>
      <c r="HF214" s="90"/>
      <c r="HG214" s="90"/>
      <c r="HH214" s="90"/>
      <c r="HI214" s="90"/>
      <c r="HJ214" s="90"/>
      <c r="HK214" s="90"/>
      <c r="HL214" s="90"/>
      <c r="HM214" s="90"/>
      <c r="HN214" s="90"/>
      <c r="HO214" s="90"/>
      <c r="HP214" s="90"/>
      <c r="HQ214" s="90"/>
      <c r="HR214" s="90"/>
      <c r="HS214" s="90"/>
      <c r="HT214" s="90"/>
      <c r="HU214" s="90"/>
      <c r="HV214" s="90"/>
      <c r="HW214" s="90"/>
      <c r="HX214" s="90"/>
      <c r="HY214" s="90"/>
      <c r="HZ214" s="90"/>
      <c r="IA214" s="90"/>
      <c r="IB214" s="90"/>
      <c r="IC214" s="90"/>
      <c r="ID214" s="90"/>
      <c r="IE214" s="90"/>
      <c r="IF214" s="90"/>
      <c r="IG214" s="90"/>
      <c r="IH214" s="90"/>
      <c r="II214" s="90"/>
      <c r="IJ214" s="90"/>
      <c r="IK214" s="90"/>
      <c r="IL214" s="90"/>
      <c r="IM214" s="90"/>
      <c r="IN214" s="90"/>
      <c r="IO214" s="90"/>
      <c r="IP214" s="90"/>
      <c r="IQ214" s="90"/>
      <c r="IR214" s="90"/>
      <c r="IS214" s="90"/>
      <c r="IT214" s="90"/>
    </row>
    <row r="215" spans="1:254" ht="12.95" customHeight="1" thickBot="1" x14ac:dyDescent="0.25">
      <c r="A215" s="73"/>
      <c r="B215" s="304"/>
      <c r="C215" s="72">
        <v>5</v>
      </c>
      <c r="D215" s="299" t="str">
        <f>IF(Team1!D24="","",Team1!D24)</f>
        <v>Eida Greene</v>
      </c>
      <c r="E215" s="307" t="e">
        <f>IF(Team1!#REF!="","",Team1!#REF!)</f>
        <v>#REF!</v>
      </c>
      <c r="F215" s="228">
        <v>19.010000000000002</v>
      </c>
      <c r="G215" s="229">
        <v>2</v>
      </c>
      <c r="H215" s="233">
        <f t="shared" si="32"/>
        <v>5</v>
      </c>
      <c r="I215" s="302"/>
      <c r="J215" s="302"/>
      <c r="K215" s="298"/>
      <c r="L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  <c r="HA215" s="90"/>
      <c r="HB215" s="90"/>
      <c r="HC215" s="90"/>
      <c r="HD215" s="90"/>
      <c r="HE215" s="90"/>
      <c r="HF215" s="90"/>
      <c r="HG215" s="90"/>
      <c r="HH215" s="90"/>
      <c r="HI215" s="90"/>
      <c r="HJ215" s="90"/>
      <c r="HK215" s="90"/>
      <c r="HL215" s="90"/>
      <c r="HM215" s="90"/>
      <c r="HN215" s="90"/>
      <c r="HO215" s="90"/>
      <c r="HP215" s="90"/>
      <c r="HQ215" s="90"/>
      <c r="HR215" s="90"/>
      <c r="HS215" s="90"/>
      <c r="HT215" s="90"/>
      <c r="HU215" s="90"/>
      <c r="HV215" s="90"/>
      <c r="HW215" s="90"/>
      <c r="HX215" s="90"/>
      <c r="HY215" s="90"/>
      <c r="HZ215" s="90"/>
      <c r="IA215" s="90"/>
      <c r="IB215" s="90"/>
      <c r="IC215" s="90"/>
      <c r="ID215" s="90"/>
      <c r="IE215" s="90"/>
      <c r="IF215" s="90"/>
      <c r="IG215" s="90"/>
      <c r="IH215" s="90"/>
      <c r="II215" s="90"/>
      <c r="IJ215" s="90"/>
      <c r="IK215" s="90"/>
      <c r="IL215" s="90"/>
      <c r="IM215" s="90"/>
      <c r="IN215" s="90"/>
      <c r="IO215" s="90"/>
      <c r="IP215" s="90"/>
      <c r="IQ215" s="90"/>
      <c r="IR215" s="90"/>
      <c r="IS215" s="90"/>
      <c r="IT215" s="90"/>
    </row>
    <row r="216" spans="1:254" ht="12" customHeight="1" x14ac:dyDescent="0.2">
      <c r="A216" s="69"/>
      <c r="B216" s="303" t="str">
        <f>Team2!$C$4</f>
        <v>Lisburn</v>
      </c>
      <c r="C216" s="70">
        <v>4</v>
      </c>
      <c r="D216" s="338" t="str">
        <f>IF(Team2!G24="","",Team2!G24)</f>
        <v>Benjamin Bickerstaffe</v>
      </c>
      <c r="E216" s="339"/>
      <c r="F216" s="226">
        <v>15.88</v>
      </c>
      <c r="G216" s="227">
        <v>1</v>
      </c>
      <c r="H216" s="232">
        <f>IF(G216="","",IF(G216=6,1,IF(G216=5,2,IF(G216=4,3,IF(G216=3,4,IF(G216=2,5,6))))))</f>
        <v>6</v>
      </c>
      <c r="I216" s="297">
        <f>IF(SUM(H216:H217)=0,"",SUM(H216:H217))</f>
        <v>10</v>
      </c>
      <c r="J216" s="301"/>
      <c r="K216" s="301"/>
      <c r="L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  <c r="HA216" s="90"/>
      <c r="HB216" s="90"/>
      <c r="HC216" s="90"/>
      <c r="HD216" s="90"/>
      <c r="HE216" s="90"/>
      <c r="HF216" s="90"/>
      <c r="HG216" s="90"/>
      <c r="HH216" s="90"/>
      <c r="HI216" s="90"/>
      <c r="HJ216" s="90"/>
      <c r="HK216" s="90"/>
      <c r="HL216" s="90"/>
      <c r="HM216" s="90"/>
      <c r="HN216" s="90"/>
      <c r="HO216" s="90"/>
      <c r="HP216" s="90"/>
      <c r="HQ216" s="90"/>
      <c r="HR216" s="90"/>
      <c r="HS216" s="90"/>
      <c r="HT216" s="90"/>
      <c r="HU216" s="90"/>
      <c r="HV216" s="90"/>
      <c r="HW216" s="90"/>
      <c r="HX216" s="90"/>
      <c r="HY216" s="90"/>
      <c r="HZ216" s="90"/>
      <c r="IA216" s="90"/>
      <c r="IB216" s="90"/>
      <c r="IC216" s="90"/>
      <c r="ID216" s="90"/>
      <c r="IE216" s="90"/>
      <c r="IF216" s="90"/>
      <c r="IG216" s="90"/>
      <c r="IH216" s="90"/>
      <c r="II216" s="90"/>
      <c r="IJ216" s="90"/>
      <c r="IK216" s="90"/>
      <c r="IL216" s="90"/>
      <c r="IM216" s="90"/>
      <c r="IN216" s="90"/>
      <c r="IO216" s="90"/>
      <c r="IP216" s="90"/>
      <c r="IQ216" s="90"/>
      <c r="IR216" s="90"/>
      <c r="IS216" s="90"/>
      <c r="IT216" s="90"/>
    </row>
    <row r="217" spans="1:254" ht="12" customHeight="1" thickBot="1" x14ac:dyDescent="0.25">
      <c r="A217" s="71">
        <v>26</v>
      </c>
      <c r="B217" s="304"/>
      <c r="C217" s="72">
        <v>1</v>
      </c>
      <c r="D217" s="299" t="str">
        <f>IF(Team2!H24="","",Team2!H24)</f>
        <v>Cillan Hall</v>
      </c>
      <c r="E217" s="307"/>
      <c r="F217" s="228">
        <v>18.62</v>
      </c>
      <c r="G217" s="229">
        <v>3</v>
      </c>
      <c r="H217" s="233">
        <f t="shared" ref="H217:H221" si="33">IF(G217="","",IF(G217=6,1,IF(G217=5,2,IF(G217=4,3,IF(G217=3,4,IF(G217=2,5,6))))))</f>
        <v>4</v>
      </c>
      <c r="I217" s="298"/>
      <c r="J217" s="302"/>
      <c r="K217" s="302"/>
      <c r="L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  <c r="HA217" s="90"/>
      <c r="HB217" s="90"/>
      <c r="HC217" s="90"/>
      <c r="HD217" s="90"/>
      <c r="HE217" s="90"/>
      <c r="HF217" s="90"/>
      <c r="HG217" s="90"/>
      <c r="HH217" s="90"/>
      <c r="HI217" s="90"/>
      <c r="HJ217" s="90"/>
      <c r="HK217" s="90"/>
      <c r="HL217" s="90"/>
      <c r="HM217" s="90"/>
      <c r="HN217" s="90"/>
      <c r="HO217" s="90"/>
      <c r="HP217" s="90"/>
      <c r="HQ217" s="90"/>
      <c r="HR217" s="90"/>
      <c r="HS217" s="90"/>
      <c r="HT217" s="90"/>
      <c r="HU217" s="90"/>
      <c r="HV217" s="90"/>
      <c r="HW217" s="90"/>
      <c r="HX217" s="90"/>
      <c r="HY217" s="90"/>
      <c r="HZ217" s="90"/>
      <c r="IA217" s="90"/>
      <c r="IB217" s="90"/>
      <c r="IC217" s="90"/>
      <c r="ID217" s="90"/>
      <c r="IE217" s="90"/>
      <c r="IF217" s="90"/>
      <c r="IG217" s="90"/>
      <c r="IH217" s="90"/>
      <c r="II217" s="90"/>
      <c r="IJ217" s="90"/>
      <c r="IK217" s="90"/>
      <c r="IL217" s="90"/>
      <c r="IM217" s="90"/>
      <c r="IN217" s="90"/>
      <c r="IO217" s="90"/>
      <c r="IP217" s="90"/>
      <c r="IQ217" s="90"/>
      <c r="IR217" s="90"/>
      <c r="IS217" s="90"/>
      <c r="IT217" s="90"/>
    </row>
    <row r="218" spans="1:254" ht="12.95" customHeight="1" x14ac:dyDescent="0.2">
      <c r="A218" s="71" t="s">
        <v>27</v>
      </c>
      <c r="B218" s="305" t="str">
        <f>Team3!$C$4</f>
        <v>Limavady</v>
      </c>
      <c r="C218" s="72">
        <v>3</v>
      </c>
      <c r="D218" s="348" t="str">
        <f>IF(Team3!G24="","",Team3!G24)</f>
        <v>Cailean Gallagher</v>
      </c>
      <c r="E218" s="307"/>
      <c r="F218" s="228">
        <v>19</v>
      </c>
      <c r="G218" s="229">
        <v>5</v>
      </c>
      <c r="H218" s="233">
        <f t="shared" si="33"/>
        <v>2</v>
      </c>
      <c r="I218" s="301"/>
      <c r="J218" s="297">
        <f>IF(SUM(H218:H219)=0,"",SUM(H218:H219))</f>
        <v>3</v>
      </c>
      <c r="K218" s="301"/>
      <c r="L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  <c r="HA218" s="90"/>
      <c r="HB218" s="90"/>
      <c r="HC218" s="90"/>
      <c r="HD218" s="90"/>
      <c r="HE218" s="90"/>
      <c r="HF218" s="90"/>
      <c r="HG218" s="90"/>
      <c r="HH218" s="90"/>
      <c r="HI218" s="90"/>
      <c r="HJ218" s="90"/>
      <c r="HK218" s="90"/>
      <c r="HL218" s="90"/>
      <c r="HM218" s="90"/>
      <c r="HN218" s="90"/>
      <c r="HO218" s="90"/>
      <c r="HP218" s="90"/>
      <c r="HQ218" s="90"/>
      <c r="HR218" s="90"/>
      <c r="HS218" s="90"/>
      <c r="HT218" s="90"/>
      <c r="HU218" s="90"/>
      <c r="HV218" s="90"/>
      <c r="HW218" s="90"/>
      <c r="HX218" s="90"/>
      <c r="HY218" s="90"/>
      <c r="HZ218" s="90"/>
      <c r="IA218" s="90"/>
      <c r="IB218" s="90"/>
      <c r="IC218" s="90"/>
      <c r="ID218" s="90"/>
      <c r="IE218" s="90"/>
      <c r="IF218" s="90"/>
      <c r="IG218" s="90"/>
      <c r="IH218" s="90"/>
      <c r="II218" s="90"/>
      <c r="IJ218" s="90"/>
      <c r="IK218" s="90"/>
      <c r="IL218" s="90"/>
      <c r="IM218" s="90"/>
      <c r="IN218" s="90"/>
      <c r="IO218" s="90"/>
      <c r="IP218" s="90"/>
      <c r="IQ218" s="90"/>
      <c r="IR218" s="90"/>
      <c r="IS218" s="90"/>
      <c r="IT218" s="90"/>
    </row>
    <row r="219" spans="1:254" ht="12.95" customHeight="1" thickBot="1" x14ac:dyDescent="0.25">
      <c r="A219" s="71" t="s">
        <v>32</v>
      </c>
      <c r="B219" s="306"/>
      <c r="C219" s="72">
        <v>6</v>
      </c>
      <c r="D219" s="348" t="str">
        <f>IF(Team3!H24="","",Team3!H24)</f>
        <v>Oliver Smith</v>
      </c>
      <c r="E219" s="307"/>
      <c r="F219" s="228">
        <v>21.56</v>
      </c>
      <c r="G219" s="229">
        <v>6</v>
      </c>
      <c r="H219" s="233">
        <f t="shared" si="33"/>
        <v>1</v>
      </c>
      <c r="I219" s="302"/>
      <c r="J219" s="298"/>
      <c r="K219" s="302"/>
      <c r="L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  <c r="HA219" s="90"/>
      <c r="HB219" s="90"/>
      <c r="HC219" s="90"/>
      <c r="HD219" s="90"/>
      <c r="HE219" s="90"/>
      <c r="HF219" s="90"/>
      <c r="HG219" s="90"/>
      <c r="HH219" s="90"/>
      <c r="HI219" s="90"/>
      <c r="HJ219" s="90"/>
      <c r="HK219" s="90"/>
      <c r="HL219" s="90"/>
      <c r="HM219" s="90"/>
      <c r="HN219" s="90"/>
      <c r="HO219" s="90"/>
      <c r="HP219" s="90"/>
      <c r="HQ219" s="90"/>
      <c r="HR219" s="90"/>
      <c r="HS219" s="90"/>
      <c r="HT219" s="90"/>
      <c r="HU219" s="90"/>
      <c r="HV219" s="90"/>
      <c r="HW219" s="90"/>
      <c r="HX219" s="90"/>
      <c r="HY219" s="90"/>
      <c r="HZ219" s="90"/>
      <c r="IA219" s="90"/>
      <c r="IB219" s="90"/>
      <c r="IC219" s="90"/>
      <c r="ID219" s="90"/>
      <c r="IE219" s="90"/>
      <c r="IF219" s="90"/>
      <c r="IG219" s="90"/>
      <c r="IH219" s="90"/>
      <c r="II219" s="90"/>
      <c r="IJ219" s="90"/>
      <c r="IK219" s="90"/>
      <c r="IL219" s="90"/>
      <c r="IM219" s="90"/>
      <c r="IN219" s="90"/>
      <c r="IO219" s="90"/>
      <c r="IP219" s="90"/>
      <c r="IQ219" s="90"/>
      <c r="IR219" s="90"/>
      <c r="IS219" s="90"/>
      <c r="IT219" s="90"/>
    </row>
    <row r="220" spans="1:254" ht="12" customHeight="1" x14ac:dyDescent="0.2">
      <c r="A220" s="196"/>
      <c r="B220" s="313" t="str">
        <f>Team1!$C$4</f>
        <v>Coleraine</v>
      </c>
      <c r="C220" s="174">
        <v>2</v>
      </c>
      <c r="D220" s="348" t="str">
        <f>IF(Team1!G24="","",Team1!G24)</f>
        <v>Daniel Eakin</v>
      </c>
      <c r="E220" s="349"/>
      <c r="F220" s="228">
        <v>18.68</v>
      </c>
      <c r="G220" s="229">
        <v>4</v>
      </c>
      <c r="H220" s="233">
        <f t="shared" si="33"/>
        <v>3</v>
      </c>
      <c r="I220" s="301"/>
      <c r="J220" s="301"/>
      <c r="K220" s="297">
        <f>IF(SUM(H220:H221)=0,"",SUM(H220:H221))</f>
        <v>8</v>
      </c>
      <c r="L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  <c r="HA220" s="90"/>
      <c r="HB220" s="90"/>
      <c r="HC220" s="90"/>
      <c r="HD220" s="90"/>
      <c r="HE220" s="90"/>
      <c r="HF220" s="90"/>
      <c r="HG220" s="90"/>
      <c r="HH220" s="90"/>
      <c r="HI220" s="90"/>
      <c r="HJ220" s="90"/>
      <c r="HK220" s="90"/>
      <c r="HL220" s="90"/>
      <c r="HM220" s="90"/>
      <c r="HN220" s="90"/>
      <c r="HO220" s="90"/>
      <c r="HP220" s="90"/>
      <c r="HQ220" s="90"/>
      <c r="HR220" s="90"/>
      <c r="HS220" s="90"/>
      <c r="HT220" s="90"/>
      <c r="HU220" s="90"/>
      <c r="HV220" s="90"/>
      <c r="HW220" s="90"/>
      <c r="HX220" s="90"/>
      <c r="HY220" s="90"/>
      <c r="HZ220" s="90"/>
      <c r="IA220" s="90"/>
      <c r="IB220" s="90"/>
      <c r="IC220" s="90"/>
      <c r="ID220" s="90"/>
      <c r="IE220" s="90"/>
      <c r="IF220" s="90"/>
      <c r="IG220" s="90"/>
      <c r="IH220" s="90"/>
      <c r="II220" s="90"/>
      <c r="IJ220" s="90"/>
      <c r="IK220" s="90"/>
      <c r="IL220" s="90"/>
      <c r="IM220" s="90"/>
      <c r="IN220" s="90"/>
      <c r="IO220" s="90"/>
      <c r="IP220" s="90"/>
      <c r="IQ220" s="90"/>
      <c r="IR220" s="90"/>
      <c r="IS220" s="90"/>
      <c r="IT220" s="90"/>
    </row>
    <row r="221" spans="1:254" ht="12" customHeight="1" thickBot="1" x14ac:dyDescent="0.25">
      <c r="A221" s="73"/>
      <c r="B221" s="304"/>
      <c r="C221" s="72">
        <v>5</v>
      </c>
      <c r="D221" s="348" t="str">
        <f>IF(Team1!H24="","",Team1!H24)</f>
        <v>Kioni Little</v>
      </c>
      <c r="E221" s="349"/>
      <c r="F221" s="228">
        <v>17.72</v>
      </c>
      <c r="G221" s="229">
        <v>2</v>
      </c>
      <c r="H221" s="233">
        <f t="shared" si="33"/>
        <v>5</v>
      </c>
      <c r="I221" s="302"/>
      <c r="J221" s="302"/>
      <c r="K221" s="298"/>
      <c r="L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  <c r="HA221" s="90"/>
      <c r="HB221" s="90"/>
      <c r="HC221" s="90"/>
      <c r="HD221" s="90"/>
      <c r="HE221" s="90"/>
      <c r="HF221" s="90"/>
      <c r="HG221" s="90"/>
      <c r="HH221" s="90"/>
      <c r="HI221" s="90"/>
      <c r="HJ221" s="90"/>
      <c r="HK221" s="90"/>
      <c r="HL221" s="90"/>
      <c r="HM221" s="90"/>
      <c r="HN221" s="90"/>
      <c r="HO221" s="90"/>
      <c r="HP221" s="90"/>
      <c r="HQ221" s="90"/>
      <c r="HR221" s="90"/>
      <c r="HS221" s="90"/>
      <c r="HT221" s="90"/>
      <c r="HU221" s="90"/>
      <c r="HV221" s="90"/>
      <c r="HW221" s="90"/>
      <c r="HX221" s="90"/>
      <c r="HY221" s="90"/>
      <c r="HZ221" s="90"/>
      <c r="IA221" s="90"/>
      <c r="IB221" s="90"/>
      <c r="IC221" s="90"/>
      <c r="ID221" s="90"/>
      <c r="IE221" s="90"/>
      <c r="IF221" s="90"/>
      <c r="IG221" s="90"/>
      <c r="IH221" s="90"/>
      <c r="II221" s="90"/>
      <c r="IJ221" s="90"/>
      <c r="IK221" s="90"/>
      <c r="IL221" s="90"/>
      <c r="IM221" s="90"/>
      <c r="IN221" s="90"/>
      <c r="IO221" s="90"/>
      <c r="IP221" s="90"/>
      <c r="IQ221" s="90"/>
      <c r="IR221" s="90"/>
      <c r="IS221" s="90"/>
      <c r="IT221" s="90"/>
    </row>
    <row r="222" spans="1:254" ht="12" customHeight="1" x14ac:dyDescent="0.2">
      <c r="A222" s="69"/>
      <c r="B222" s="303" t="str">
        <f>Team2!$C$4</f>
        <v>Lisburn</v>
      </c>
      <c r="C222" s="70">
        <v>4</v>
      </c>
      <c r="D222" s="338" t="str">
        <f>IF(Team2!C25="","",Team2!C25)</f>
        <v>Emily Coleman</v>
      </c>
      <c r="E222" s="339"/>
      <c r="F222" s="226">
        <v>16</v>
      </c>
      <c r="G222" s="227">
        <v>1</v>
      </c>
      <c r="H222" s="232">
        <f>IF(G222="","",IF(G222=6,1,IF(G222=5,2,IF(G222=4,3,IF(G222=3,4,IF(G222=2,5,6))))))</f>
        <v>6</v>
      </c>
      <c r="I222" s="297">
        <f>IF(SUM(H222:H223)=0,"",SUM(H222:H223))</f>
        <v>11</v>
      </c>
      <c r="J222" s="301"/>
      <c r="K222" s="301"/>
      <c r="L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  <c r="HA222" s="90"/>
      <c r="HB222" s="90"/>
      <c r="HC222" s="90"/>
      <c r="HD222" s="90"/>
      <c r="HE222" s="90"/>
      <c r="HF222" s="90"/>
      <c r="HG222" s="90"/>
      <c r="HH222" s="90"/>
      <c r="HI222" s="90"/>
      <c r="HJ222" s="90"/>
      <c r="HK222" s="90"/>
      <c r="HL222" s="90"/>
      <c r="HM222" s="90"/>
      <c r="HN222" s="90"/>
      <c r="HO222" s="90"/>
      <c r="HP222" s="90"/>
      <c r="HQ222" s="90"/>
      <c r="HR222" s="90"/>
      <c r="HS222" s="90"/>
      <c r="HT222" s="90"/>
      <c r="HU222" s="90"/>
      <c r="HV222" s="90"/>
      <c r="HW222" s="90"/>
      <c r="HX222" s="90"/>
      <c r="HY222" s="90"/>
      <c r="HZ222" s="90"/>
      <c r="IA222" s="90"/>
      <c r="IB222" s="90"/>
      <c r="IC222" s="90"/>
      <c r="ID222" s="90"/>
      <c r="IE222" s="90"/>
      <c r="IF222" s="90"/>
      <c r="IG222" s="90"/>
      <c r="IH222" s="90"/>
      <c r="II222" s="90"/>
      <c r="IJ222" s="90"/>
      <c r="IK222" s="90"/>
      <c r="IL222" s="90"/>
      <c r="IM222" s="90"/>
      <c r="IN222" s="90"/>
      <c r="IO222" s="90"/>
      <c r="IP222" s="90"/>
      <c r="IQ222" s="90"/>
      <c r="IR222" s="90"/>
      <c r="IS222" s="90"/>
      <c r="IT222" s="90"/>
    </row>
    <row r="223" spans="1:254" ht="12" customHeight="1" thickBot="1" x14ac:dyDescent="0.25">
      <c r="A223" s="71">
        <v>27</v>
      </c>
      <c r="B223" s="304"/>
      <c r="C223" s="72">
        <v>1</v>
      </c>
      <c r="D223" s="299" t="str">
        <f>IF(Team2!D25="","",Team2!D25)</f>
        <v>Yzabelle Pacia</v>
      </c>
      <c r="E223" s="307"/>
      <c r="F223" s="228">
        <v>16.059999999999999</v>
      </c>
      <c r="G223" s="229">
        <v>2</v>
      </c>
      <c r="H223" s="233">
        <f t="shared" ref="H223:H227" si="34">IF(G223="","",IF(G223=6,1,IF(G223=5,2,IF(G223=4,3,IF(G223=3,4,IF(G223=2,5,6))))))</f>
        <v>5</v>
      </c>
      <c r="I223" s="298"/>
      <c r="J223" s="302"/>
      <c r="K223" s="302"/>
      <c r="L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  <c r="HA223" s="90"/>
      <c r="HB223" s="90"/>
      <c r="HC223" s="90"/>
      <c r="HD223" s="90"/>
      <c r="HE223" s="90"/>
      <c r="HF223" s="90"/>
      <c r="HG223" s="90"/>
      <c r="HH223" s="90"/>
      <c r="HI223" s="90"/>
      <c r="HJ223" s="90"/>
      <c r="HK223" s="90"/>
      <c r="HL223" s="90"/>
      <c r="HM223" s="90"/>
      <c r="HN223" s="90"/>
      <c r="HO223" s="90"/>
      <c r="HP223" s="90"/>
      <c r="HQ223" s="90"/>
      <c r="HR223" s="90"/>
      <c r="HS223" s="90"/>
      <c r="HT223" s="90"/>
      <c r="HU223" s="90"/>
      <c r="HV223" s="90"/>
      <c r="HW223" s="90"/>
      <c r="HX223" s="90"/>
      <c r="HY223" s="90"/>
      <c r="HZ223" s="90"/>
      <c r="IA223" s="90"/>
      <c r="IB223" s="90"/>
      <c r="IC223" s="90"/>
      <c r="ID223" s="90"/>
      <c r="IE223" s="90"/>
      <c r="IF223" s="90"/>
      <c r="IG223" s="90"/>
      <c r="IH223" s="90"/>
      <c r="II223" s="90"/>
      <c r="IJ223" s="90"/>
      <c r="IK223" s="90"/>
      <c r="IL223" s="90"/>
      <c r="IM223" s="90"/>
      <c r="IN223" s="90"/>
      <c r="IO223" s="90"/>
      <c r="IP223" s="90"/>
      <c r="IQ223" s="90"/>
      <c r="IR223" s="90"/>
      <c r="IS223" s="90"/>
      <c r="IT223" s="90"/>
    </row>
    <row r="224" spans="1:254" ht="12.95" customHeight="1" x14ac:dyDescent="0.2">
      <c r="A224" s="71" t="s">
        <v>28</v>
      </c>
      <c r="B224" s="305" t="str">
        <f>Team3!$C$4</f>
        <v>Limavady</v>
      </c>
      <c r="C224" s="72">
        <v>3</v>
      </c>
      <c r="D224" s="299" t="str">
        <f>IF(Team3!C25="","",Team3!C25)</f>
        <v>Abbi Craig</v>
      </c>
      <c r="E224" s="307"/>
      <c r="F224" s="228">
        <v>18.12</v>
      </c>
      <c r="G224" s="229">
        <v>5</v>
      </c>
      <c r="H224" s="233">
        <f t="shared" si="34"/>
        <v>2</v>
      </c>
      <c r="I224" s="301"/>
      <c r="J224" s="297">
        <f>IF(SUM(H224:H225)=0,"",SUM(H224:H225))</f>
        <v>3</v>
      </c>
      <c r="K224" s="301"/>
      <c r="L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  <c r="HA224" s="90"/>
      <c r="HB224" s="90"/>
      <c r="HC224" s="90"/>
      <c r="HD224" s="90"/>
      <c r="HE224" s="90"/>
      <c r="HF224" s="90"/>
      <c r="HG224" s="90"/>
      <c r="HH224" s="90"/>
      <c r="HI224" s="90"/>
      <c r="HJ224" s="90"/>
      <c r="HK224" s="90"/>
      <c r="HL224" s="90"/>
      <c r="HM224" s="90"/>
      <c r="HN224" s="90"/>
      <c r="HO224" s="90"/>
      <c r="HP224" s="90"/>
      <c r="HQ224" s="90"/>
      <c r="HR224" s="90"/>
      <c r="HS224" s="90"/>
      <c r="HT224" s="90"/>
      <c r="HU224" s="90"/>
      <c r="HV224" s="90"/>
      <c r="HW224" s="90"/>
      <c r="HX224" s="90"/>
      <c r="HY224" s="90"/>
      <c r="HZ224" s="90"/>
      <c r="IA224" s="90"/>
      <c r="IB224" s="90"/>
      <c r="IC224" s="90"/>
      <c r="ID224" s="90"/>
      <c r="IE224" s="90"/>
      <c r="IF224" s="90"/>
      <c r="IG224" s="90"/>
      <c r="IH224" s="90"/>
      <c r="II224" s="90"/>
      <c r="IJ224" s="90"/>
      <c r="IK224" s="90"/>
      <c r="IL224" s="90"/>
      <c r="IM224" s="90"/>
      <c r="IN224" s="90"/>
      <c r="IO224" s="90"/>
      <c r="IP224" s="90"/>
      <c r="IQ224" s="90"/>
      <c r="IR224" s="90"/>
      <c r="IS224" s="90"/>
      <c r="IT224" s="90"/>
    </row>
    <row r="225" spans="1:254" ht="12.95" customHeight="1" thickBot="1" x14ac:dyDescent="0.25">
      <c r="A225" s="71" t="s">
        <v>31</v>
      </c>
      <c r="B225" s="306"/>
      <c r="C225" s="72">
        <v>6</v>
      </c>
      <c r="D225" s="299" t="str">
        <f>IF(Team3!D25="","",Team3!D25)</f>
        <v>Emily Butcher</v>
      </c>
      <c r="E225" s="307"/>
      <c r="F225" s="228">
        <v>18.22</v>
      </c>
      <c r="G225" s="229">
        <v>6</v>
      </c>
      <c r="H225" s="233">
        <f t="shared" si="34"/>
        <v>1</v>
      </c>
      <c r="I225" s="302"/>
      <c r="J225" s="298"/>
      <c r="K225" s="302"/>
      <c r="L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  <c r="HA225" s="90"/>
      <c r="HB225" s="90"/>
      <c r="HC225" s="90"/>
      <c r="HD225" s="90"/>
      <c r="HE225" s="90"/>
      <c r="HF225" s="90"/>
      <c r="HG225" s="90"/>
      <c r="HH225" s="90"/>
      <c r="HI225" s="90"/>
      <c r="HJ225" s="90"/>
      <c r="HK225" s="90"/>
      <c r="HL225" s="90"/>
      <c r="HM225" s="90"/>
      <c r="HN225" s="90"/>
      <c r="HO225" s="90"/>
      <c r="HP225" s="90"/>
      <c r="HQ225" s="90"/>
      <c r="HR225" s="90"/>
      <c r="HS225" s="90"/>
      <c r="HT225" s="90"/>
      <c r="HU225" s="90"/>
      <c r="HV225" s="90"/>
      <c r="HW225" s="90"/>
      <c r="HX225" s="90"/>
      <c r="HY225" s="90"/>
      <c r="HZ225" s="90"/>
      <c r="IA225" s="90"/>
      <c r="IB225" s="90"/>
      <c r="IC225" s="90"/>
      <c r="ID225" s="90"/>
      <c r="IE225" s="90"/>
      <c r="IF225" s="90"/>
      <c r="IG225" s="90"/>
      <c r="IH225" s="90"/>
      <c r="II225" s="90"/>
      <c r="IJ225" s="90"/>
      <c r="IK225" s="90"/>
      <c r="IL225" s="90"/>
      <c r="IM225" s="90"/>
      <c r="IN225" s="90"/>
      <c r="IO225" s="90"/>
      <c r="IP225" s="90"/>
      <c r="IQ225" s="90"/>
      <c r="IR225" s="90"/>
      <c r="IS225" s="90"/>
      <c r="IT225" s="90"/>
    </row>
    <row r="226" spans="1:254" ht="12" customHeight="1" x14ac:dyDescent="0.2">
      <c r="A226" s="196"/>
      <c r="B226" s="313" t="str">
        <f>Team1!$C$4</f>
        <v>Coleraine</v>
      </c>
      <c r="C226" s="174">
        <v>2</v>
      </c>
      <c r="D226" s="299" t="str">
        <f>IF(Team1!C25="","",Team1!C25)</f>
        <v>Emma Price</v>
      </c>
      <c r="E226" s="307"/>
      <c r="F226" s="228">
        <v>16.5</v>
      </c>
      <c r="G226" s="229">
        <v>3</v>
      </c>
      <c r="H226" s="233">
        <f t="shared" si="34"/>
        <v>4</v>
      </c>
      <c r="I226" s="301"/>
      <c r="J226" s="301"/>
      <c r="K226" s="297">
        <f>IF(SUM(H226:H227)=0,"",SUM(H226:H227))</f>
        <v>7</v>
      </c>
      <c r="L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  <c r="HA226" s="90"/>
      <c r="HB226" s="90"/>
      <c r="HC226" s="90"/>
      <c r="HD226" s="90"/>
      <c r="HE226" s="90"/>
      <c r="HF226" s="90"/>
      <c r="HG226" s="90"/>
      <c r="HH226" s="90"/>
      <c r="HI226" s="90"/>
      <c r="HJ226" s="90"/>
      <c r="HK226" s="90"/>
      <c r="HL226" s="90"/>
      <c r="HM226" s="90"/>
      <c r="HN226" s="90"/>
      <c r="HO226" s="90"/>
      <c r="HP226" s="90"/>
      <c r="HQ226" s="90"/>
      <c r="HR226" s="90"/>
      <c r="HS226" s="90"/>
      <c r="HT226" s="90"/>
      <c r="HU226" s="90"/>
      <c r="HV226" s="90"/>
      <c r="HW226" s="90"/>
      <c r="HX226" s="90"/>
      <c r="HY226" s="90"/>
      <c r="HZ226" s="90"/>
      <c r="IA226" s="90"/>
      <c r="IB226" s="90"/>
      <c r="IC226" s="90"/>
      <c r="ID226" s="90"/>
      <c r="IE226" s="90"/>
      <c r="IF226" s="90"/>
      <c r="IG226" s="90"/>
      <c r="IH226" s="90"/>
      <c r="II226" s="90"/>
      <c r="IJ226" s="90"/>
      <c r="IK226" s="90"/>
      <c r="IL226" s="90"/>
      <c r="IM226" s="90"/>
      <c r="IN226" s="90"/>
      <c r="IO226" s="90"/>
      <c r="IP226" s="90"/>
      <c r="IQ226" s="90"/>
      <c r="IR226" s="90"/>
      <c r="IS226" s="90"/>
      <c r="IT226" s="90"/>
    </row>
    <row r="227" spans="1:254" ht="12" customHeight="1" thickBot="1" x14ac:dyDescent="0.25">
      <c r="A227" s="73"/>
      <c r="B227" s="304"/>
      <c r="C227" s="72">
        <v>5</v>
      </c>
      <c r="D227" s="299" t="str">
        <f>IF(Team1!D25="","",Team1!D25)</f>
        <v>Isla McClelland</v>
      </c>
      <c r="E227" s="307"/>
      <c r="F227" s="228">
        <v>16.8</v>
      </c>
      <c r="G227" s="229">
        <v>4</v>
      </c>
      <c r="H227" s="233">
        <f t="shared" si="34"/>
        <v>3</v>
      </c>
      <c r="I227" s="302"/>
      <c r="J227" s="302"/>
      <c r="K227" s="298"/>
      <c r="L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  <c r="HA227" s="90"/>
      <c r="HB227" s="90"/>
      <c r="HC227" s="90"/>
      <c r="HD227" s="90"/>
      <c r="HE227" s="90"/>
      <c r="HF227" s="90"/>
      <c r="HG227" s="90"/>
      <c r="HH227" s="90"/>
      <c r="HI227" s="90"/>
      <c r="HJ227" s="90"/>
      <c r="HK227" s="90"/>
      <c r="HL227" s="90"/>
      <c r="HM227" s="90"/>
      <c r="HN227" s="90"/>
      <c r="HO227" s="90"/>
      <c r="HP227" s="90"/>
      <c r="HQ227" s="90"/>
      <c r="HR227" s="90"/>
      <c r="HS227" s="90"/>
      <c r="HT227" s="90"/>
      <c r="HU227" s="90"/>
      <c r="HV227" s="90"/>
      <c r="HW227" s="90"/>
      <c r="HX227" s="90"/>
      <c r="HY227" s="90"/>
      <c r="HZ227" s="90"/>
      <c r="IA227" s="90"/>
      <c r="IB227" s="90"/>
      <c r="IC227" s="90"/>
      <c r="ID227" s="90"/>
      <c r="IE227" s="90"/>
      <c r="IF227" s="90"/>
      <c r="IG227" s="90"/>
      <c r="IH227" s="90"/>
      <c r="II227" s="90"/>
      <c r="IJ227" s="90"/>
      <c r="IK227" s="90"/>
      <c r="IL227" s="90"/>
      <c r="IM227" s="90"/>
      <c r="IN227" s="90"/>
      <c r="IO227" s="90"/>
      <c r="IP227" s="90"/>
      <c r="IQ227" s="90"/>
      <c r="IR227" s="90"/>
      <c r="IS227" s="90"/>
      <c r="IT227" s="90"/>
    </row>
    <row r="228" spans="1:254" ht="12" customHeight="1" x14ac:dyDescent="0.2">
      <c r="A228" s="69"/>
      <c r="B228" s="303" t="str">
        <f>Team2!$C$4</f>
        <v>Lisburn</v>
      </c>
      <c r="C228" s="70">
        <v>4</v>
      </c>
      <c r="D228" s="338" t="str">
        <f>IF(Team2!G25="","",Team2!G25)</f>
        <v>Alfie Shawe</v>
      </c>
      <c r="E228" s="339"/>
      <c r="F228" s="226">
        <v>16.149999999999999</v>
      </c>
      <c r="G228" s="227">
        <v>1</v>
      </c>
      <c r="H228" s="232">
        <f>IF(G228="","",IF(G228=6,1,IF(G228=5,2,IF(G228=4,3,IF(G228=3,4,IF(G228=2,5,6))))))</f>
        <v>6</v>
      </c>
      <c r="I228" s="297">
        <f>IF(SUM(H228:H229)=0,"",SUM(H228:H229))</f>
        <v>10</v>
      </c>
      <c r="J228" s="301"/>
      <c r="K228" s="301"/>
      <c r="L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  <c r="HA228" s="90"/>
      <c r="HB228" s="90"/>
      <c r="HC228" s="90"/>
      <c r="HD228" s="90"/>
      <c r="HE228" s="90"/>
      <c r="HF228" s="90"/>
      <c r="HG228" s="90"/>
      <c r="HH228" s="90"/>
      <c r="HI228" s="90"/>
      <c r="HJ228" s="90"/>
      <c r="HK228" s="90"/>
      <c r="HL228" s="90"/>
      <c r="HM228" s="90"/>
      <c r="HN228" s="90"/>
      <c r="HO228" s="90"/>
      <c r="HP228" s="90"/>
      <c r="HQ228" s="90"/>
      <c r="HR228" s="90"/>
      <c r="HS228" s="90"/>
      <c r="HT228" s="90"/>
      <c r="HU228" s="90"/>
      <c r="HV228" s="90"/>
      <c r="HW228" s="90"/>
      <c r="HX228" s="90"/>
      <c r="HY228" s="90"/>
      <c r="HZ228" s="90"/>
      <c r="IA228" s="90"/>
      <c r="IB228" s="90"/>
      <c r="IC228" s="90"/>
      <c r="ID228" s="90"/>
      <c r="IE228" s="90"/>
      <c r="IF228" s="90"/>
      <c r="IG228" s="90"/>
      <c r="IH228" s="90"/>
      <c r="II228" s="90"/>
      <c r="IJ228" s="90"/>
      <c r="IK228" s="90"/>
      <c r="IL228" s="90"/>
      <c r="IM228" s="90"/>
      <c r="IN228" s="90"/>
      <c r="IO228" s="90"/>
      <c r="IP228" s="90"/>
      <c r="IQ228" s="90"/>
      <c r="IR228" s="90"/>
      <c r="IS228" s="90"/>
      <c r="IT228" s="90"/>
    </row>
    <row r="229" spans="1:254" ht="12" customHeight="1" thickBot="1" x14ac:dyDescent="0.25">
      <c r="A229" s="71">
        <v>28</v>
      </c>
      <c r="B229" s="304"/>
      <c r="C229" s="72">
        <v>1</v>
      </c>
      <c r="D229" s="299" t="str">
        <f>IF(Team2!H25="","",Team2!H25)</f>
        <v xml:space="preserve">Tom Keys </v>
      </c>
      <c r="E229" s="307"/>
      <c r="F229" s="228">
        <v>17.809999999999999</v>
      </c>
      <c r="G229" s="229">
        <v>3</v>
      </c>
      <c r="H229" s="233">
        <f t="shared" ref="H229:H233" si="35">IF(G229="","",IF(G229=6,1,IF(G229=5,2,IF(G229=4,3,IF(G229=3,4,IF(G229=2,5,6))))))</f>
        <v>4</v>
      </c>
      <c r="I229" s="298"/>
      <c r="J229" s="302"/>
      <c r="K229" s="302"/>
      <c r="L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  <c r="HA229" s="90"/>
      <c r="HB229" s="90"/>
      <c r="HC229" s="90"/>
      <c r="HD229" s="90"/>
      <c r="HE229" s="90"/>
      <c r="HF229" s="90"/>
      <c r="HG229" s="90"/>
      <c r="HH229" s="90"/>
      <c r="HI229" s="90"/>
      <c r="HJ229" s="90"/>
      <c r="HK229" s="90"/>
      <c r="HL229" s="90"/>
      <c r="HM229" s="90"/>
      <c r="HN229" s="90"/>
      <c r="HO229" s="90"/>
      <c r="HP229" s="90"/>
      <c r="HQ229" s="90"/>
      <c r="HR229" s="90"/>
      <c r="HS229" s="90"/>
      <c r="HT229" s="90"/>
      <c r="HU229" s="90"/>
      <c r="HV229" s="90"/>
      <c r="HW229" s="90"/>
      <c r="HX229" s="90"/>
      <c r="HY229" s="90"/>
      <c r="HZ229" s="90"/>
      <c r="IA229" s="90"/>
      <c r="IB229" s="90"/>
      <c r="IC229" s="90"/>
      <c r="ID229" s="90"/>
      <c r="IE229" s="90"/>
      <c r="IF229" s="90"/>
      <c r="IG229" s="90"/>
      <c r="IH229" s="90"/>
      <c r="II229" s="90"/>
      <c r="IJ229" s="90"/>
      <c r="IK229" s="90"/>
      <c r="IL229" s="90"/>
      <c r="IM229" s="90"/>
      <c r="IN229" s="90"/>
      <c r="IO229" s="90"/>
      <c r="IP229" s="90"/>
      <c r="IQ229" s="90"/>
      <c r="IR229" s="90"/>
      <c r="IS229" s="90"/>
      <c r="IT229" s="90"/>
    </row>
    <row r="230" spans="1:254" ht="12.95" customHeight="1" x14ac:dyDescent="0.2">
      <c r="A230" s="71" t="s">
        <v>28</v>
      </c>
      <c r="B230" s="305" t="str">
        <f>Team3!$C$4</f>
        <v>Limavady</v>
      </c>
      <c r="C230" s="72">
        <v>3</v>
      </c>
      <c r="D230" s="299" t="str">
        <f>IF(Team3!G25="","",Team3!G25)</f>
        <v>Joshua Hunt</v>
      </c>
      <c r="E230" s="307"/>
      <c r="F230" s="228">
        <v>19.28</v>
      </c>
      <c r="G230" s="229">
        <v>5</v>
      </c>
      <c r="H230" s="233">
        <f t="shared" si="35"/>
        <v>2</v>
      </c>
      <c r="I230" s="301"/>
      <c r="J230" s="297">
        <f>IF(SUM(H230:H231)=0,"",SUM(H230:H231))</f>
        <v>3</v>
      </c>
      <c r="K230" s="301"/>
      <c r="L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  <c r="HA230" s="90"/>
      <c r="HB230" s="90"/>
      <c r="HC230" s="90"/>
      <c r="HD230" s="90"/>
      <c r="HE230" s="90"/>
      <c r="HF230" s="90"/>
      <c r="HG230" s="90"/>
      <c r="HH230" s="90"/>
      <c r="HI230" s="90"/>
      <c r="HJ230" s="90"/>
      <c r="HK230" s="90"/>
      <c r="HL230" s="90"/>
      <c r="HM230" s="90"/>
      <c r="HN230" s="90"/>
      <c r="HO230" s="90"/>
      <c r="HP230" s="90"/>
      <c r="HQ230" s="90"/>
      <c r="HR230" s="90"/>
      <c r="HS230" s="90"/>
      <c r="HT230" s="90"/>
      <c r="HU230" s="90"/>
      <c r="HV230" s="90"/>
      <c r="HW230" s="90"/>
      <c r="HX230" s="90"/>
      <c r="HY230" s="90"/>
      <c r="HZ230" s="90"/>
      <c r="IA230" s="90"/>
      <c r="IB230" s="90"/>
      <c r="IC230" s="90"/>
      <c r="ID230" s="90"/>
      <c r="IE230" s="90"/>
      <c r="IF230" s="90"/>
      <c r="IG230" s="90"/>
      <c r="IH230" s="90"/>
      <c r="II230" s="90"/>
      <c r="IJ230" s="90"/>
      <c r="IK230" s="90"/>
      <c r="IL230" s="90"/>
      <c r="IM230" s="90"/>
      <c r="IN230" s="90"/>
      <c r="IO230" s="90"/>
      <c r="IP230" s="90"/>
      <c r="IQ230" s="90"/>
      <c r="IR230" s="90"/>
      <c r="IS230" s="90"/>
      <c r="IT230" s="90"/>
    </row>
    <row r="231" spans="1:254" ht="12.95" customHeight="1" thickBot="1" x14ac:dyDescent="0.25">
      <c r="A231" s="71" t="s">
        <v>32</v>
      </c>
      <c r="B231" s="306"/>
      <c r="C231" s="72">
        <v>6</v>
      </c>
      <c r="D231" s="299" t="str">
        <f>IF(Team3!H25="","",Team3!H25)</f>
        <v>Darragh Mc Cann-Kennedy</v>
      </c>
      <c r="E231" s="307"/>
      <c r="F231" s="228">
        <v>21.26</v>
      </c>
      <c r="G231" s="229">
        <v>6</v>
      </c>
      <c r="H231" s="233">
        <f t="shared" si="35"/>
        <v>1</v>
      </c>
      <c r="I231" s="302"/>
      <c r="J231" s="298"/>
      <c r="K231" s="302"/>
      <c r="L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  <c r="HA231" s="90"/>
      <c r="HB231" s="90"/>
      <c r="HC231" s="90"/>
      <c r="HD231" s="90"/>
      <c r="HE231" s="90"/>
      <c r="HF231" s="90"/>
      <c r="HG231" s="90"/>
      <c r="HH231" s="90"/>
      <c r="HI231" s="90"/>
      <c r="HJ231" s="90"/>
      <c r="HK231" s="90"/>
      <c r="HL231" s="90"/>
      <c r="HM231" s="90"/>
      <c r="HN231" s="90"/>
      <c r="HO231" s="90"/>
      <c r="HP231" s="90"/>
      <c r="HQ231" s="90"/>
      <c r="HR231" s="90"/>
      <c r="HS231" s="90"/>
      <c r="HT231" s="90"/>
      <c r="HU231" s="90"/>
      <c r="HV231" s="90"/>
      <c r="HW231" s="90"/>
      <c r="HX231" s="90"/>
      <c r="HY231" s="90"/>
      <c r="HZ231" s="90"/>
      <c r="IA231" s="90"/>
      <c r="IB231" s="90"/>
      <c r="IC231" s="90"/>
      <c r="ID231" s="90"/>
      <c r="IE231" s="90"/>
      <c r="IF231" s="90"/>
      <c r="IG231" s="90"/>
      <c r="IH231" s="90"/>
      <c r="II231" s="90"/>
      <c r="IJ231" s="90"/>
      <c r="IK231" s="90"/>
      <c r="IL231" s="90"/>
      <c r="IM231" s="90"/>
      <c r="IN231" s="90"/>
      <c r="IO231" s="90"/>
      <c r="IP231" s="90"/>
      <c r="IQ231" s="90"/>
      <c r="IR231" s="90"/>
      <c r="IS231" s="90"/>
      <c r="IT231" s="90"/>
    </row>
    <row r="232" spans="1:254" ht="12" customHeight="1" x14ac:dyDescent="0.2">
      <c r="A232" s="196"/>
      <c r="B232" s="313" t="str">
        <f>Team1!$C$4</f>
        <v>Coleraine</v>
      </c>
      <c r="C232" s="174">
        <v>2</v>
      </c>
      <c r="D232" s="299" t="str">
        <f>IF(Team1!G25="","",Team1!G25)</f>
        <v>Isaac Duddy</v>
      </c>
      <c r="E232" s="307"/>
      <c r="F232" s="228">
        <v>17.559999999999999</v>
      </c>
      <c r="G232" s="229">
        <v>2</v>
      </c>
      <c r="H232" s="233">
        <f t="shared" si="35"/>
        <v>5</v>
      </c>
      <c r="I232" s="301"/>
      <c r="J232" s="301"/>
      <c r="K232" s="297">
        <f>IF(SUM(H232:H233)=0,"",SUM(H232:H233))</f>
        <v>8</v>
      </c>
      <c r="L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  <c r="HA232" s="90"/>
      <c r="HB232" s="90"/>
      <c r="HC232" s="90"/>
      <c r="HD232" s="90"/>
      <c r="HE232" s="90"/>
      <c r="HF232" s="90"/>
      <c r="HG232" s="90"/>
      <c r="HH232" s="90"/>
      <c r="HI232" s="90"/>
      <c r="HJ232" s="90"/>
      <c r="HK232" s="90"/>
      <c r="HL232" s="90"/>
      <c r="HM232" s="90"/>
      <c r="HN232" s="90"/>
      <c r="HO232" s="90"/>
      <c r="HP232" s="90"/>
      <c r="HQ232" s="90"/>
      <c r="HR232" s="90"/>
      <c r="HS232" s="90"/>
      <c r="HT232" s="90"/>
      <c r="HU232" s="90"/>
      <c r="HV232" s="90"/>
      <c r="HW232" s="90"/>
      <c r="HX232" s="90"/>
      <c r="HY232" s="90"/>
      <c r="HZ232" s="90"/>
      <c r="IA232" s="90"/>
      <c r="IB232" s="90"/>
      <c r="IC232" s="90"/>
      <c r="ID232" s="90"/>
      <c r="IE232" s="90"/>
      <c r="IF232" s="90"/>
      <c r="IG232" s="90"/>
      <c r="IH232" s="90"/>
      <c r="II232" s="90"/>
      <c r="IJ232" s="90"/>
      <c r="IK232" s="90"/>
      <c r="IL232" s="90"/>
      <c r="IM232" s="90"/>
      <c r="IN232" s="90"/>
      <c r="IO232" s="90"/>
      <c r="IP232" s="90"/>
      <c r="IQ232" s="90"/>
      <c r="IR232" s="90"/>
      <c r="IS232" s="90"/>
      <c r="IT232" s="90"/>
    </row>
    <row r="233" spans="1:254" ht="12" customHeight="1" thickBot="1" x14ac:dyDescent="0.25">
      <c r="A233" s="73"/>
      <c r="B233" s="304"/>
      <c r="C233" s="72">
        <v>5</v>
      </c>
      <c r="D233" s="299"/>
      <c r="E233" s="307"/>
      <c r="F233" s="228">
        <v>17.899999999999999</v>
      </c>
      <c r="G233" s="229">
        <v>4</v>
      </c>
      <c r="H233" s="233">
        <f t="shared" si="35"/>
        <v>3</v>
      </c>
      <c r="I233" s="302"/>
      <c r="J233" s="302"/>
      <c r="K233" s="298"/>
      <c r="L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  <c r="HA233" s="90"/>
      <c r="HB233" s="90"/>
      <c r="HC233" s="90"/>
      <c r="HD233" s="90"/>
      <c r="HE233" s="90"/>
      <c r="HF233" s="90"/>
      <c r="HG233" s="90"/>
      <c r="HH233" s="90"/>
      <c r="HI233" s="90"/>
      <c r="HJ233" s="90"/>
      <c r="HK233" s="90"/>
      <c r="HL233" s="90"/>
      <c r="HM233" s="90"/>
      <c r="HN233" s="90"/>
      <c r="HO233" s="90"/>
      <c r="HP233" s="90"/>
      <c r="HQ233" s="90"/>
      <c r="HR233" s="90"/>
      <c r="HS233" s="90"/>
      <c r="HT233" s="90"/>
      <c r="HU233" s="90"/>
      <c r="HV233" s="90"/>
      <c r="HW233" s="90"/>
      <c r="HX233" s="90"/>
      <c r="HY233" s="90"/>
      <c r="HZ233" s="90"/>
      <c r="IA233" s="90"/>
      <c r="IB233" s="90"/>
      <c r="IC233" s="90"/>
      <c r="ID233" s="90"/>
      <c r="IE233" s="90"/>
      <c r="IF233" s="90"/>
      <c r="IG233" s="90"/>
      <c r="IH233" s="90"/>
      <c r="II233" s="90"/>
      <c r="IJ233" s="90"/>
      <c r="IK233" s="90"/>
      <c r="IL233" s="90"/>
      <c r="IM233" s="90"/>
      <c r="IN233" s="90"/>
      <c r="IO233" s="90"/>
      <c r="IP233" s="90"/>
      <c r="IQ233" s="90"/>
      <c r="IR233" s="90"/>
      <c r="IS233" s="90"/>
      <c r="IT233" s="90"/>
    </row>
    <row r="234" spans="1:254" ht="12" customHeight="1" x14ac:dyDescent="0.2">
      <c r="A234" s="74"/>
      <c r="B234" s="183"/>
      <c r="C234" s="27"/>
      <c r="D234" s="75"/>
      <c r="E234" s="75"/>
      <c r="F234" s="27"/>
      <c r="G234" s="76" t="s">
        <v>33</v>
      </c>
      <c r="H234" s="143"/>
      <c r="I234" s="223">
        <f>SUM(I186,I192,I198,I204,I210,I216,I222,I228)</f>
        <v>63</v>
      </c>
      <c r="J234" s="223">
        <f>SUM(J188,J194,J200,J206,J212,J218,J224,J230)</f>
        <v>50</v>
      </c>
      <c r="K234" s="223">
        <f>SUM(K190,K196,K202,K208,K214,K220,K226,K232)</f>
        <v>55</v>
      </c>
      <c r="L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  <c r="HA234" s="90"/>
      <c r="HB234" s="90"/>
      <c r="HC234" s="90"/>
      <c r="HD234" s="90"/>
      <c r="HE234" s="90"/>
      <c r="HF234" s="90"/>
      <c r="HG234" s="90"/>
      <c r="HH234" s="90"/>
      <c r="HI234" s="90"/>
      <c r="HJ234" s="90"/>
      <c r="HK234" s="90"/>
      <c r="HL234" s="90"/>
      <c r="HM234" s="90"/>
      <c r="HN234" s="90"/>
      <c r="HO234" s="90"/>
      <c r="HP234" s="90"/>
      <c r="HQ234" s="90"/>
      <c r="HR234" s="90"/>
      <c r="HS234" s="90"/>
      <c r="HT234" s="90"/>
      <c r="HU234" s="90"/>
      <c r="HV234" s="90"/>
      <c r="HW234" s="90"/>
      <c r="HX234" s="90"/>
      <c r="HY234" s="90"/>
      <c r="HZ234" s="90"/>
      <c r="IA234" s="90"/>
      <c r="IB234" s="90"/>
      <c r="IC234" s="90"/>
      <c r="ID234" s="90"/>
      <c r="IE234" s="90"/>
      <c r="IF234" s="90"/>
      <c r="IG234" s="90"/>
      <c r="IH234" s="90"/>
      <c r="II234" s="90"/>
      <c r="IJ234" s="90"/>
      <c r="IK234" s="90"/>
      <c r="IL234" s="90"/>
      <c r="IM234" s="90"/>
      <c r="IN234" s="90"/>
      <c r="IO234" s="90"/>
      <c r="IP234" s="90"/>
      <c r="IQ234" s="90"/>
      <c r="IR234" s="90"/>
      <c r="IS234" s="90"/>
      <c r="IT234" s="90"/>
    </row>
    <row r="235" spans="1:254" ht="12" customHeight="1" x14ac:dyDescent="0.2">
      <c r="A235" s="77"/>
      <c r="B235" s="45"/>
      <c r="C235" s="30"/>
      <c r="D235" s="31"/>
      <c r="E235" s="31"/>
      <c r="F235" s="30"/>
      <c r="G235" s="78" t="s">
        <v>34</v>
      </c>
      <c r="H235" s="42"/>
      <c r="I235" s="224">
        <f>I181</f>
        <v>155</v>
      </c>
      <c r="J235" s="224">
        <f t="shared" ref="J235:K235" si="36">J181</f>
        <v>122</v>
      </c>
      <c r="K235" s="224">
        <f t="shared" si="36"/>
        <v>143</v>
      </c>
      <c r="L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  <c r="HA235" s="90"/>
      <c r="HB235" s="90"/>
      <c r="HC235" s="90"/>
      <c r="HD235" s="90"/>
      <c r="HE235" s="90"/>
      <c r="HF235" s="90"/>
      <c r="HG235" s="90"/>
      <c r="HH235" s="90"/>
      <c r="HI235" s="90"/>
      <c r="HJ235" s="90"/>
      <c r="HK235" s="90"/>
      <c r="HL235" s="90"/>
      <c r="HM235" s="90"/>
      <c r="HN235" s="90"/>
      <c r="HO235" s="90"/>
      <c r="HP235" s="90"/>
      <c r="HQ235" s="90"/>
      <c r="HR235" s="90"/>
      <c r="HS235" s="90"/>
      <c r="HT235" s="90"/>
      <c r="HU235" s="90"/>
      <c r="HV235" s="90"/>
      <c r="HW235" s="90"/>
      <c r="HX235" s="90"/>
      <c r="HY235" s="90"/>
      <c r="HZ235" s="90"/>
      <c r="IA235" s="90"/>
      <c r="IB235" s="90"/>
      <c r="IC235" s="90"/>
      <c r="ID235" s="90"/>
      <c r="IE235" s="90"/>
      <c r="IF235" s="90"/>
      <c r="IG235" s="90"/>
      <c r="IH235" s="90"/>
      <c r="II235" s="90"/>
      <c r="IJ235" s="90"/>
      <c r="IK235" s="90"/>
      <c r="IL235" s="90"/>
      <c r="IM235" s="90"/>
      <c r="IN235" s="90"/>
      <c r="IO235" s="90"/>
      <c r="IP235" s="90"/>
      <c r="IQ235" s="90"/>
      <c r="IR235" s="90"/>
      <c r="IS235" s="90"/>
      <c r="IT235" s="90"/>
    </row>
    <row r="236" spans="1:254" ht="12.95" customHeight="1" thickBot="1" x14ac:dyDescent="0.25">
      <c r="A236" s="79"/>
      <c r="B236" s="184"/>
      <c r="C236" s="80"/>
      <c r="D236" s="81"/>
      <c r="E236" s="81"/>
      <c r="F236" s="80"/>
      <c r="G236" s="82" t="s">
        <v>35</v>
      </c>
      <c r="H236" s="150"/>
      <c r="I236" s="225">
        <f>IF(SUM(I234:I235)=0,"",SUM(I234:I235))</f>
        <v>218</v>
      </c>
      <c r="J236" s="225">
        <f>IF(SUM(J234:J235)=0,"",SUM(J234:J235))</f>
        <v>172</v>
      </c>
      <c r="K236" s="225">
        <f>IF(SUM(K234:K235)=0,"",SUM(K234:K235))</f>
        <v>198</v>
      </c>
      <c r="L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  <c r="HA236" s="90"/>
      <c r="HB236" s="90"/>
      <c r="HC236" s="90"/>
      <c r="HD236" s="90"/>
      <c r="HE236" s="90"/>
      <c r="HF236" s="90"/>
      <c r="HG236" s="90"/>
      <c r="HH236" s="90"/>
      <c r="HI236" s="90"/>
      <c r="HJ236" s="90"/>
      <c r="HK236" s="90"/>
      <c r="HL236" s="90"/>
      <c r="HM236" s="90"/>
      <c r="HN236" s="90"/>
      <c r="HO236" s="90"/>
      <c r="HP236" s="90"/>
      <c r="HQ236" s="90"/>
      <c r="HR236" s="90"/>
      <c r="HS236" s="90"/>
      <c r="HT236" s="90"/>
      <c r="HU236" s="90"/>
      <c r="HV236" s="90"/>
      <c r="HW236" s="90"/>
      <c r="HX236" s="90"/>
      <c r="HY236" s="90"/>
      <c r="HZ236" s="90"/>
      <c r="IA236" s="90"/>
      <c r="IB236" s="90"/>
      <c r="IC236" s="90"/>
      <c r="ID236" s="90"/>
      <c r="IE236" s="90"/>
      <c r="IF236" s="90"/>
      <c r="IG236" s="90"/>
      <c r="IH236" s="90"/>
      <c r="II236" s="90"/>
      <c r="IJ236" s="90"/>
      <c r="IK236" s="90"/>
      <c r="IL236" s="90"/>
      <c r="IM236" s="90"/>
      <c r="IN236" s="90"/>
      <c r="IO236" s="90"/>
      <c r="IP236" s="90"/>
      <c r="IQ236" s="90"/>
      <c r="IR236" s="90"/>
      <c r="IS236" s="90"/>
      <c r="IT236" s="90"/>
    </row>
    <row r="237" spans="1:254" ht="15" customHeight="1" x14ac:dyDescent="0.2">
      <c r="A237" s="28"/>
      <c r="B237" s="177"/>
      <c r="C237" s="28"/>
      <c r="D237" s="28"/>
      <c r="E237" s="28"/>
      <c r="F237" s="28"/>
      <c r="G237" s="28"/>
      <c r="H237" s="28"/>
      <c r="I237" s="186"/>
      <c r="J237" s="186"/>
      <c r="K237" s="186"/>
      <c r="L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  <c r="HA237" s="90"/>
      <c r="HB237" s="90"/>
      <c r="HC237" s="90"/>
      <c r="HD237" s="90"/>
      <c r="HE237" s="90"/>
      <c r="HF237" s="90"/>
      <c r="HG237" s="90"/>
      <c r="HH237" s="90"/>
      <c r="HI237" s="90"/>
      <c r="HJ237" s="90"/>
      <c r="HK237" s="90"/>
      <c r="HL237" s="90"/>
      <c r="HM237" s="90"/>
      <c r="HN237" s="90"/>
      <c r="HO237" s="90"/>
      <c r="HP237" s="90"/>
      <c r="HQ237" s="90"/>
      <c r="HR237" s="90"/>
      <c r="HS237" s="90"/>
      <c r="HT237" s="90"/>
      <c r="HU237" s="90"/>
      <c r="HV237" s="90"/>
      <c r="HW237" s="90"/>
      <c r="HX237" s="90"/>
      <c r="HY237" s="90"/>
      <c r="HZ237" s="90"/>
      <c r="IA237" s="90"/>
      <c r="IB237" s="90"/>
      <c r="IC237" s="90"/>
      <c r="ID237" s="90"/>
      <c r="IE237" s="90"/>
      <c r="IF237" s="90"/>
      <c r="IG237" s="90"/>
      <c r="IH237" s="90"/>
      <c r="II237" s="90"/>
      <c r="IJ237" s="90"/>
      <c r="IK237" s="90"/>
      <c r="IL237" s="90"/>
      <c r="IM237" s="90"/>
      <c r="IN237" s="90"/>
      <c r="IO237" s="90"/>
      <c r="IP237" s="90"/>
      <c r="IQ237" s="90"/>
      <c r="IR237" s="90"/>
      <c r="IS237" s="90"/>
      <c r="IT237" s="90"/>
    </row>
    <row r="238" spans="1:254" ht="15" customHeight="1" x14ac:dyDescent="0.25">
      <c r="A238" s="336" t="s">
        <v>38</v>
      </c>
      <c r="B238" s="337"/>
      <c r="C238" s="337"/>
      <c r="D238" s="337"/>
      <c r="E238" s="337"/>
      <c r="F238" s="337"/>
      <c r="G238" s="337"/>
      <c r="H238" s="337"/>
      <c r="I238" s="337"/>
      <c r="J238" s="337"/>
      <c r="K238" s="337"/>
      <c r="L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  <c r="HA238" s="90"/>
      <c r="HB238" s="90"/>
      <c r="HC238" s="90"/>
      <c r="HD238" s="90"/>
      <c r="HE238" s="90"/>
      <c r="HF238" s="90"/>
      <c r="HG238" s="90"/>
      <c r="HH238" s="90"/>
      <c r="HI238" s="90"/>
      <c r="HJ238" s="90"/>
      <c r="HK238" s="90"/>
      <c r="HL238" s="90"/>
      <c r="HM238" s="90"/>
      <c r="HN238" s="90"/>
      <c r="HO238" s="90"/>
      <c r="HP238" s="90"/>
      <c r="HQ238" s="90"/>
      <c r="HR238" s="90"/>
      <c r="HS238" s="90"/>
      <c r="HT238" s="90"/>
      <c r="HU238" s="90"/>
      <c r="HV238" s="90"/>
      <c r="HW238" s="90"/>
      <c r="HX238" s="90"/>
      <c r="HY238" s="90"/>
      <c r="HZ238" s="90"/>
      <c r="IA238" s="90"/>
      <c r="IB238" s="90"/>
      <c r="IC238" s="90"/>
      <c r="ID238" s="90"/>
      <c r="IE238" s="90"/>
      <c r="IF238" s="90"/>
      <c r="IG238" s="90"/>
      <c r="IH238" s="90"/>
      <c r="II238" s="90"/>
      <c r="IJ238" s="90"/>
      <c r="IK238" s="90"/>
      <c r="IL238" s="90"/>
      <c r="IM238" s="90"/>
      <c r="IN238" s="90"/>
      <c r="IO238" s="90"/>
      <c r="IP238" s="90"/>
      <c r="IQ238" s="90"/>
      <c r="IR238" s="90"/>
      <c r="IS238" s="90"/>
      <c r="IT238" s="90"/>
    </row>
    <row r="239" spans="1:254" ht="12.95" customHeight="1" thickBot="1" x14ac:dyDescent="0.25">
      <c r="A239" s="47"/>
      <c r="B239" s="182"/>
      <c r="C239" s="47"/>
      <c r="D239" s="47"/>
      <c r="E239" s="47"/>
      <c r="F239" s="47"/>
      <c r="G239" s="47"/>
      <c r="H239" s="47"/>
      <c r="I239" s="222"/>
      <c r="J239" s="222"/>
      <c r="K239" s="222"/>
      <c r="L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  <c r="HA239" s="90"/>
      <c r="HB239" s="90"/>
      <c r="HC239" s="90"/>
      <c r="HD239" s="90"/>
      <c r="HE239" s="90"/>
      <c r="HF239" s="90"/>
      <c r="HG239" s="90"/>
      <c r="HH239" s="90"/>
      <c r="HI239" s="90"/>
      <c r="HJ239" s="90"/>
      <c r="HK239" s="90"/>
      <c r="HL239" s="90"/>
      <c r="HM239" s="90"/>
      <c r="HN239" s="90"/>
      <c r="HO239" s="90"/>
      <c r="HP239" s="90"/>
      <c r="HQ239" s="90"/>
      <c r="HR239" s="90"/>
      <c r="HS239" s="90"/>
      <c r="HT239" s="90"/>
      <c r="HU239" s="90"/>
      <c r="HV239" s="90"/>
      <c r="HW239" s="90"/>
      <c r="HX239" s="90"/>
      <c r="HY239" s="90"/>
      <c r="HZ239" s="90"/>
      <c r="IA239" s="90"/>
      <c r="IB239" s="90"/>
      <c r="IC239" s="90"/>
      <c r="ID239" s="90"/>
      <c r="IE239" s="90"/>
      <c r="IF239" s="90"/>
      <c r="IG239" s="90"/>
      <c r="IH239" s="90"/>
      <c r="II239" s="90"/>
      <c r="IJ239" s="90"/>
      <c r="IK239" s="90"/>
      <c r="IL239" s="90"/>
      <c r="IM239" s="90"/>
      <c r="IN239" s="90"/>
      <c r="IO239" s="90"/>
      <c r="IP239" s="90"/>
      <c r="IQ239" s="90"/>
      <c r="IR239" s="90"/>
      <c r="IS239" s="90"/>
      <c r="IT239" s="90"/>
    </row>
    <row r="240" spans="1:254" ht="12.95" customHeight="1" thickBot="1" x14ac:dyDescent="0.25">
      <c r="A240" s="67" t="s">
        <v>1</v>
      </c>
      <c r="B240" s="68" t="s">
        <v>20</v>
      </c>
      <c r="C240" s="68" t="s">
        <v>21</v>
      </c>
      <c r="D240" s="340" t="s">
        <v>22</v>
      </c>
      <c r="E240" s="341"/>
      <c r="F240" s="68" t="s">
        <v>23</v>
      </c>
      <c r="G240" s="68" t="s">
        <v>24</v>
      </c>
      <c r="H240" s="158" t="s">
        <v>16</v>
      </c>
      <c r="I240" s="342" t="s">
        <v>16</v>
      </c>
      <c r="J240" s="343"/>
      <c r="K240" s="344"/>
      <c r="L240" s="90"/>
      <c r="N240" s="90" t="s">
        <v>148</v>
      </c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  <c r="HA240" s="90"/>
      <c r="HB240" s="90"/>
      <c r="HC240" s="90"/>
      <c r="HD240" s="90"/>
      <c r="HE240" s="90"/>
      <c r="HF240" s="90"/>
      <c r="HG240" s="90"/>
      <c r="HH240" s="90"/>
      <c r="HI240" s="90"/>
      <c r="HJ240" s="90"/>
      <c r="HK240" s="90"/>
      <c r="HL240" s="90"/>
      <c r="HM240" s="90"/>
      <c r="HN240" s="90"/>
      <c r="HO240" s="90"/>
      <c r="HP240" s="90"/>
      <c r="HQ240" s="90"/>
      <c r="HR240" s="90"/>
      <c r="HS240" s="90"/>
      <c r="HT240" s="90"/>
      <c r="HU240" s="90"/>
      <c r="HV240" s="90"/>
      <c r="HW240" s="90"/>
      <c r="HX240" s="90"/>
      <c r="HY240" s="90"/>
      <c r="HZ240" s="90"/>
      <c r="IA240" s="90"/>
      <c r="IB240" s="90"/>
      <c r="IC240" s="90"/>
      <c r="ID240" s="90"/>
      <c r="IE240" s="90"/>
      <c r="IF240" s="90"/>
      <c r="IG240" s="90"/>
      <c r="IH240" s="90"/>
      <c r="II240" s="90"/>
      <c r="IJ240" s="90"/>
      <c r="IK240" s="90"/>
      <c r="IL240" s="90"/>
      <c r="IM240" s="90"/>
      <c r="IN240" s="90"/>
      <c r="IO240" s="90"/>
      <c r="IP240" s="90"/>
      <c r="IQ240" s="90"/>
      <c r="IR240" s="90"/>
      <c r="IS240" s="90"/>
      <c r="IT240" s="90"/>
    </row>
    <row r="241" spans="1:254" ht="12" customHeight="1" x14ac:dyDescent="0.2">
      <c r="A241" s="69"/>
      <c r="B241" s="303" t="str">
        <f>Team2!$C$4</f>
        <v>Lisburn</v>
      </c>
      <c r="C241" s="70">
        <v>4</v>
      </c>
      <c r="D241" s="338" t="str">
        <f>IF(Team2!C26="","",Team2!C26)</f>
        <v>Amelia Stone</v>
      </c>
      <c r="E241" s="339"/>
      <c r="F241" s="226">
        <v>20.16</v>
      </c>
      <c r="G241" s="227">
        <v>3</v>
      </c>
      <c r="H241" s="232">
        <f>IF(G241="","",IF(G241=6,1,IF(G241=5,2,IF(G241=4,3,IF(G241=3,4,IF(G241=2,5,6))))))</f>
        <v>4</v>
      </c>
      <c r="I241" s="297">
        <f>IF(SUM(H241:H242)=0,"",SUM(H241:H242))</f>
        <v>5</v>
      </c>
      <c r="J241" s="301"/>
      <c r="K241" s="301"/>
      <c r="L241" s="90"/>
      <c r="N241" s="90" t="s">
        <v>166</v>
      </c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  <c r="HA241" s="90"/>
      <c r="HB241" s="90"/>
      <c r="HC241" s="90"/>
      <c r="HD241" s="90"/>
      <c r="HE241" s="90"/>
      <c r="HF241" s="90"/>
      <c r="HG241" s="90"/>
      <c r="HH241" s="90"/>
      <c r="HI241" s="90"/>
      <c r="HJ241" s="90"/>
      <c r="HK241" s="90"/>
      <c r="HL241" s="90"/>
      <c r="HM241" s="90"/>
      <c r="HN241" s="90"/>
      <c r="HO241" s="90"/>
      <c r="HP241" s="90"/>
      <c r="HQ241" s="90"/>
      <c r="HR241" s="90"/>
      <c r="HS241" s="90"/>
      <c r="HT241" s="90"/>
      <c r="HU241" s="90"/>
      <c r="HV241" s="90"/>
      <c r="HW241" s="90"/>
      <c r="HX241" s="90"/>
      <c r="HY241" s="90"/>
      <c r="HZ241" s="90"/>
      <c r="IA241" s="90"/>
      <c r="IB241" s="90"/>
      <c r="IC241" s="90"/>
      <c r="ID241" s="90"/>
      <c r="IE241" s="90"/>
      <c r="IF241" s="90"/>
      <c r="IG241" s="90"/>
      <c r="IH241" s="90"/>
      <c r="II241" s="90"/>
      <c r="IJ241" s="90"/>
      <c r="IK241" s="90"/>
      <c r="IL241" s="90"/>
      <c r="IM241" s="90"/>
      <c r="IN241" s="90"/>
      <c r="IO241" s="90"/>
      <c r="IP241" s="90"/>
      <c r="IQ241" s="90"/>
      <c r="IR241" s="90"/>
      <c r="IS241" s="90"/>
      <c r="IT241" s="90"/>
    </row>
    <row r="242" spans="1:254" ht="12" customHeight="1" thickBot="1" x14ac:dyDescent="0.25">
      <c r="A242" s="71">
        <v>29</v>
      </c>
      <c r="B242" s="304"/>
      <c r="C242" s="72">
        <v>1</v>
      </c>
      <c r="D242" s="299" t="str">
        <f>IF(Team2!D26="","",Team2!D26)</f>
        <v>Erin Lowry</v>
      </c>
      <c r="E242" s="307"/>
      <c r="F242" s="228">
        <v>24.65</v>
      </c>
      <c r="G242" s="229">
        <v>6</v>
      </c>
      <c r="H242" s="233">
        <f t="shared" ref="H242:H246" si="37">IF(G242="","",IF(G242=6,1,IF(G242=5,2,IF(G242=4,3,IF(G242=3,4,IF(G242=2,5,6))))))</f>
        <v>1</v>
      </c>
      <c r="I242" s="298"/>
      <c r="J242" s="302"/>
      <c r="K242" s="302"/>
      <c r="L242" s="90"/>
      <c r="N242" s="90" t="s">
        <v>161</v>
      </c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  <c r="HA242" s="90"/>
      <c r="HB242" s="90"/>
      <c r="HC242" s="90"/>
      <c r="HD242" s="90"/>
      <c r="HE242" s="90"/>
      <c r="HF242" s="90"/>
      <c r="HG242" s="90"/>
      <c r="HH242" s="90"/>
      <c r="HI242" s="90"/>
      <c r="HJ242" s="90"/>
      <c r="HK242" s="90"/>
      <c r="HL242" s="90"/>
      <c r="HM242" s="90"/>
      <c r="HN242" s="90"/>
      <c r="HO242" s="90"/>
      <c r="HP242" s="90"/>
      <c r="HQ242" s="90"/>
      <c r="HR242" s="90"/>
      <c r="HS242" s="90"/>
      <c r="HT242" s="90"/>
      <c r="HU242" s="90"/>
      <c r="HV242" s="90"/>
      <c r="HW242" s="90"/>
      <c r="HX242" s="90"/>
      <c r="HY242" s="90"/>
      <c r="HZ242" s="90"/>
      <c r="IA242" s="90"/>
      <c r="IB242" s="90"/>
      <c r="IC242" s="90"/>
      <c r="ID242" s="90"/>
      <c r="IE242" s="90"/>
      <c r="IF242" s="90"/>
      <c r="IG242" s="90"/>
      <c r="IH242" s="90"/>
      <c r="II242" s="90"/>
      <c r="IJ242" s="90"/>
      <c r="IK242" s="90"/>
      <c r="IL242" s="90"/>
      <c r="IM242" s="90"/>
      <c r="IN242" s="90"/>
      <c r="IO242" s="90"/>
      <c r="IP242" s="90"/>
      <c r="IQ242" s="90"/>
      <c r="IR242" s="90"/>
      <c r="IS242" s="90"/>
      <c r="IT242" s="90"/>
    </row>
    <row r="243" spans="1:254" ht="12" customHeight="1" x14ac:dyDescent="0.2">
      <c r="A243" s="71" t="s">
        <v>25</v>
      </c>
      <c r="B243" s="305" t="str">
        <f>Team3!$C$4</f>
        <v>Limavady</v>
      </c>
      <c r="C243" s="72">
        <v>3</v>
      </c>
      <c r="D243" s="299" t="str">
        <f>IF(Team3!C26="","",Team3!C26)</f>
        <v>Myia Mc Clamont</v>
      </c>
      <c r="E243" s="307"/>
      <c r="F243" s="228">
        <v>18.579999999999998</v>
      </c>
      <c r="G243" s="229">
        <v>1</v>
      </c>
      <c r="H243" s="233">
        <f t="shared" si="37"/>
        <v>6</v>
      </c>
      <c r="I243" s="301"/>
      <c r="J243" s="297">
        <f>IF(SUM(H243:H244)=0,"",SUM(H243:H244))</f>
        <v>11</v>
      </c>
      <c r="K243" s="301"/>
      <c r="L243" s="90"/>
      <c r="N243" s="90" t="s">
        <v>149</v>
      </c>
      <c r="O243" s="90"/>
      <c r="P243" s="90"/>
      <c r="Q243" s="90">
        <f>(6+5)/2</f>
        <v>5.5</v>
      </c>
      <c r="R243" s="90" t="s">
        <v>155</v>
      </c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  <c r="HA243" s="90"/>
      <c r="HB243" s="90"/>
      <c r="HC243" s="90"/>
      <c r="HD243" s="90"/>
      <c r="HE243" s="90"/>
      <c r="HF243" s="90"/>
      <c r="HG243" s="90"/>
      <c r="HH243" s="90"/>
      <c r="HI243" s="90"/>
      <c r="HJ243" s="90"/>
      <c r="HK243" s="90"/>
      <c r="HL243" s="90"/>
      <c r="HM243" s="90"/>
      <c r="HN243" s="90"/>
      <c r="HO243" s="90"/>
      <c r="HP243" s="90"/>
      <c r="HQ243" s="90"/>
      <c r="HR243" s="90"/>
      <c r="HS243" s="90"/>
      <c r="HT243" s="90"/>
      <c r="HU243" s="90"/>
      <c r="HV243" s="90"/>
      <c r="HW243" s="90"/>
      <c r="HX243" s="90"/>
      <c r="HY243" s="90"/>
      <c r="HZ243" s="90"/>
      <c r="IA243" s="90"/>
      <c r="IB243" s="90"/>
      <c r="IC243" s="90"/>
      <c r="ID243" s="90"/>
      <c r="IE243" s="90"/>
      <c r="IF243" s="90"/>
      <c r="IG243" s="90"/>
      <c r="IH243" s="90"/>
      <c r="II243" s="90"/>
      <c r="IJ243" s="90"/>
      <c r="IK243" s="90"/>
      <c r="IL243" s="90"/>
      <c r="IM243" s="90"/>
      <c r="IN243" s="90"/>
      <c r="IO243" s="90"/>
      <c r="IP243" s="90"/>
      <c r="IQ243" s="90"/>
      <c r="IR243" s="90"/>
      <c r="IS243" s="90"/>
      <c r="IT243" s="90"/>
    </row>
    <row r="244" spans="1:254" ht="12" customHeight="1" thickBot="1" x14ac:dyDescent="0.25">
      <c r="A244" s="71" t="s">
        <v>31</v>
      </c>
      <c r="B244" s="306"/>
      <c r="C244" s="72">
        <v>6</v>
      </c>
      <c r="D244" s="299" t="str">
        <f>IF(Team3!D26="","",Team3!D26)</f>
        <v>Fiona O Neill</v>
      </c>
      <c r="E244" s="307"/>
      <c r="F244" s="228">
        <v>19.5</v>
      </c>
      <c r="G244" s="229">
        <v>2</v>
      </c>
      <c r="H244" s="233">
        <f t="shared" si="37"/>
        <v>5</v>
      </c>
      <c r="I244" s="302"/>
      <c r="J244" s="298"/>
      <c r="K244" s="302"/>
      <c r="L244" s="90"/>
      <c r="N244" s="90" t="s">
        <v>152</v>
      </c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  <c r="HA244" s="90"/>
      <c r="HB244" s="90"/>
      <c r="HC244" s="90"/>
      <c r="HD244" s="90"/>
      <c r="HE244" s="90"/>
      <c r="HF244" s="90"/>
      <c r="HG244" s="90"/>
      <c r="HH244" s="90"/>
      <c r="HI244" s="90"/>
      <c r="HJ244" s="90"/>
      <c r="HK244" s="90"/>
      <c r="HL244" s="90"/>
      <c r="HM244" s="90"/>
      <c r="HN244" s="90"/>
      <c r="HO244" s="90"/>
      <c r="HP244" s="90"/>
      <c r="HQ244" s="90"/>
      <c r="HR244" s="90"/>
      <c r="HS244" s="90"/>
      <c r="HT244" s="90"/>
      <c r="HU244" s="90"/>
      <c r="HV244" s="90"/>
      <c r="HW244" s="90"/>
      <c r="HX244" s="90"/>
      <c r="HY244" s="90"/>
      <c r="HZ244" s="90"/>
      <c r="IA244" s="90"/>
      <c r="IB244" s="90"/>
      <c r="IC244" s="90"/>
      <c r="ID244" s="90"/>
      <c r="IE244" s="90"/>
      <c r="IF244" s="90"/>
      <c r="IG244" s="90"/>
      <c r="IH244" s="90"/>
      <c r="II244" s="90"/>
      <c r="IJ244" s="90"/>
      <c r="IK244" s="90"/>
      <c r="IL244" s="90"/>
      <c r="IM244" s="90"/>
      <c r="IN244" s="90"/>
      <c r="IO244" s="90"/>
      <c r="IP244" s="90"/>
      <c r="IQ244" s="90"/>
      <c r="IR244" s="90"/>
      <c r="IS244" s="90"/>
      <c r="IT244" s="90"/>
    </row>
    <row r="245" spans="1:254" ht="12" customHeight="1" x14ac:dyDescent="0.2">
      <c r="A245" s="71"/>
      <c r="B245" s="313" t="str">
        <f>Team1!$C$4</f>
        <v>Coleraine</v>
      </c>
      <c r="C245" s="174">
        <v>2</v>
      </c>
      <c r="D245" s="346" t="str">
        <f>IF(Team1!C26="","",Team1!C26)</f>
        <v>Robyn Little</v>
      </c>
      <c r="E245" s="347"/>
      <c r="F245" s="230">
        <v>24.22</v>
      </c>
      <c r="G245" s="231">
        <v>5</v>
      </c>
      <c r="H245" s="234">
        <f t="shared" si="37"/>
        <v>2</v>
      </c>
      <c r="I245" s="301"/>
      <c r="J245" s="301"/>
      <c r="K245" s="297">
        <f>IF(SUM(H245:H246)=0,"",SUM(H245:H246))</f>
        <v>5</v>
      </c>
      <c r="L245" s="90"/>
      <c r="N245" s="90" t="s">
        <v>150</v>
      </c>
      <c r="O245" s="90"/>
      <c r="P245" s="90"/>
      <c r="Q245" s="90">
        <f>(5+4)/2</f>
        <v>4.5</v>
      </c>
      <c r="R245" s="90" t="s">
        <v>155</v>
      </c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  <c r="HA245" s="90"/>
      <c r="HB245" s="90"/>
      <c r="HC245" s="90"/>
      <c r="HD245" s="90"/>
      <c r="HE245" s="90"/>
      <c r="HF245" s="90"/>
      <c r="HG245" s="90"/>
      <c r="HH245" s="90"/>
      <c r="HI245" s="90"/>
      <c r="HJ245" s="90"/>
      <c r="HK245" s="90"/>
      <c r="HL245" s="90"/>
      <c r="HM245" s="90"/>
      <c r="HN245" s="90"/>
      <c r="HO245" s="90"/>
      <c r="HP245" s="90"/>
      <c r="HQ245" s="90"/>
      <c r="HR245" s="90"/>
      <c r="HS245" s="90"/>
      <c r="HT245" s="90"/>
      <c r="HU245" s="90"/>
      <c r="HV245" s="90"/>
      <c r="HW245" s="90"/>
      <c r="HX245" s="90"/>
      <c r="HY245" s="90"/>
      <c r="HZ245" s="90"/>
      <c r="IA245" s="90"/>
      <c r="IB245" s="90"/>
      <c r="IC245" s="90"/>
      <c r="ID245" s="90"/>
      <c r="IE245" s="90"/>
      <c r="IF245" s="90"/>
      <c r="IG245" s="90"/>
      <c r="IH245" s="90"/>
      <c r="II245" s="90"/>
      <c r="IJ245" s="90"/>
      <c r="IK245" s="90"/>
      <c r="IL245" s="90"/>
      <c r="IM245" s="90"/>
      <c r="IN245" s="90"/>
      <c r="IO245" s="90"/>
      <c r="IP245" s="90"/>
      <c r="IQ245" s="90"/>
      <c r="IR245" s="90"/>
      <c r="IS245" s="90"/>
      <c r="IT245" s="90"/>
    </row>
    <row r="246" spans="1:254" ht="12" customHeight="1" thickBot="1" x14ac:dyDescent="0.25">
      <c r="A246" s="73"/>
      <c r="B246" s="304"/>
      <c r="C246" s="72">
        <v>5</v>
      </c>
      <c r="D246" s="299" t="str">
        <f>IF(Team1!D26="","",Team1!D26)</f>
        <v>Olivia Jenkinson</v>
      </c>
      <c r="E246" s="307"/>
      <c r="F246" s="228">
        <v>21.56</v>
      </c>
      <c r="G246" s="229">
        <v>4</v>
      </c>
      <c r="H246" s="233">
        <f t="shared" si="37"/>
        <v>3</v>
      </c>
      <c r="I246" s="302"/>
      <c r="J246" s="302"/>
      <c r="K246" s="298"/>
      <c r="L246" s="90"/>
      <c r="N246" s="90" t="s">
        <v>153</v>
      </c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  <c r="HA246" s="90"/>
      <c r="HB246" s="90"/>
      <c r="HC246" s="90"/>
      <c r="HD246" s="90"/>
      <c r="HE246" s="90"/>
      <c r="HF246" s="90"/>
      <c r="HG246" s="90"/>
      <c r="HH246" s="90"/>
      <c r="HI246" s="90"/>
      <c r="HJ246" s="90"/>
      <c r="HK246" s="90"/>
      <c r="HL246" s="90"/>
      <c r="HM246" s="90"/>
      <c r="HN246" s="90"/>
      <c r="HO246" s="90"/>
      <c r="HP246" s="90"/>
      <c r="HQ246" s="90"/>
      <c r="HR246" s="90"/>
      <c r="HS246" s="90"/>
      <c r="HT246" s="90"/>
      <c r="HU246" s="90"/>
      <c r="HV246" s="90"/>
      <c r="HW246" s="90"/>
      <c r="HX246" s="90"/>
      <c r="HY246" s="90"/>
      <c r="HZ246" s="90"/>
      <c r="IA246" s="90"/>
      <c r="IB246" s="90"/>
      <c r="IC246" s="90"/>
      <c r="ID246" s="90"/>
      <c r="IE246" s="90"/>
      <c r="IF246" s="90"/>
      <c r="IG246" s="90"/>
      <c r="IH246" s="90"/>
      <c r="II246" s="90"/>
      <c r="IJ246" s="90"/>
      <c r="IK246" s="90"/>
      <c r="IL246" s="90"/>
      <c r="IM246" s="90"/>
      <c r="IN246" s="90"/>
      <c r="IO246" s="90"/>
      <c r="IP246" s="90"/>
      <c r="IQ246" s="90"/>
      <c r="IR246" s="90"/>
      <c r="IS246" s="90"/>
      <c r="IT246" s="90"/>
    </row>
    <row r="247" spans="1:254" ht="12" customHeight="1" x14ac:dyDescent="0.2">
      <c r="A247" s="69"/>
      <c r="B247" s="303" t="str">
        <f>Team2!$C$4</f>
        <v>Lisburn</v>
      </c>
      <c r="C247" s="70">
        <v>4</v>
      </c>
      <c r="D247" s="338" t="str">
        <f>IF(Team2!G26="","",Team2!G26)</f>
        <v>Harry McGlashan</v>
      </c>
      <c r="E247" s="339"/>
      <c r="F247" s="226">
        <v>17.440000000000001</v>
      </c>
      <c r="G247" s="227">
        <v>1</v>
      </c>
      <c r="H247" s="232">
        <f>IF(G247="","",IF(G247=6,1,IF(G247=5,2,IF(G247=4,3,IF(G247=3,4,IF(G247=2,5,6))))))</f>
        <v>6</v>
      </c>
      <c r="I247" s="297">
        <f>IF(SUM(H247:H248)=0,"",SUM(H247:H248))</f>
        <v>11</v>
      </c>
      <c r="J247" s="301"/>
      <c r="K247" s="301"/>
      <c r="L247" s="90"/>
      <c r="N247" s="90" t="s">
        <v>151</v>
      </c>
      <c r="O247" s="90"/>
      <c r="P247" s="90"/>
      <c r="Q247" s="90">
        <f>(4+3)/2</f>
        <v>3.5</v>
      </c>
      <c r="R247" s="90" t="s">
        <v>155</v>
      </c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  <c r="HA247" s="90"/>
      <c r="HB247" s="90"/>
      <c r="HC247" s="90"/>
      <c r="HD247" s="90"/>
      <c r="HE247" s="90"/>
      <c r="HF247" s="90"/>
      <c r="HG247" s="90"/>
      <c r="HH247" s="90"/>
      <c r="HI247" s="90"/>
      <c r="HJ247" s="90"/>
      <c r="HK247" s="90"/>
      <c r="HL247" s="90"/>
      <c r="HM247" s="90"/>
      <c r="HN247" s="90"/>
      <c r="HO247" s="90"/>
      <c r="HP247" s="90"/>
      <c r="HQ247" s="90"/>
      <c r="HR247" s="90"/>
      <c r="HS247" s="90"/>
      <c r="HT247" s="90"/>
      <c r="HU247" s="90"/>
      <c r="HV247" s="90"/>
      <c r="HW247" s="90"/>
      <c r="HX247" s="90"/>
      <c r="HY247" s="90"/>
      <c r="HZ247" s="90"/>
      <c r="IA247" s="90"/>
      <c r="IB247" s="90"/>
      <c r="IC247" s="90"/>
      <c r="ID247" s="90"/>
      <c r="IE247" s="90"/>
      <c r="IF247" s="90"/>
      <c r="IG247" s="90"/>
      <c r="IH247" s="90"/>
      <c r="II247" s="90"/>
      <c r="IJ247" s="90"/>
      <c r="IK247" s="90"/>
      <c r="IL247" s="90"/>
      <c r="IM247" s="90"/>
      <c r="IN247" s="90"/>
      <c r="IO247" s="90"/>
      <c r="IP247" s="90"/>
      <c r="IQ247" s="90"/>
      <c r="IR247" s="90"/>
      <c r="IS247" s="90"/>
      <c r="IT247" s="90"/>
    </row>
    <row r="248" spans="1:254" ht="12" customHeight="1" thickBot="1" x14ac:dyDescent="0.25">
      <c r="A248" s="71">
        <v>30</v>
      </c>
      <c r="B248" s="304"/>
      <c r="C248" s="72">
        <v>1</v>
      </c>
      <c r="D248" s="299" t="str">
        <f>IF(Team2!H26="","",Team2!H26)</f>
        <v>Ross Gray</v>
      </c>
      <c r="E248" s="307"/>
      <c r="F248" s="228">
        <v>20.22</v>
      </c>
      <c r="G248" s="229">
        <v>2</v>
      </c>
      <c r="H248" s="233">
        <f t="shared" ref="H248:H252" si="38">IF(G248="","",IF(G248=6,1,IF(G248=5,2,IF(G248=4,3,IF(G248=3,4,IF(G248=2,5,6))))))</f>
        <v>5</v>
      </c>
      <c r="I248" s="298"/>
      <c r="J248" s="302"/>
      <c r="K248" s="302"/>
      <c r="L248" s="90"/>
      <c r="N248" s="90" t="s">
        <v>154</v>
      </c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  <c r="HA248" s="90"/>
      <c r="HB248" s="90"/>
      <c r="HC248" s="90"/>
      <c r="HD248" s="90"/>
      <c r="HE248" s="90"/>
      <c r="HF248" s="90"/>
      <c r="HG248" s="90"/>
      <c r="HH248" s="90"/>
      <c r="HI248" s="90"/>
      <c r="HJ248" s="90"/>
      <c r="HK248" s="90"/>
      <c r="HL248" s="90"/>
      <c r="HM248" s="90"/>
      <c r="HN248" s="90"/>
      <c r="HO248" s="90"/>
      <c r="HP248" s="90"/>
      <c r="HQ248" s="90"/>
      <c r="HR248" s="90"/>
      <c r="HS248" s="90"/>
      <c r="HT248" s="90"/>
      <c r="HU248" s="90"/>
      <c r="HV248" s="90"/>
      <c r="HW248" s="90"/>
      <c r="HX248" s="90"/>
      <c r="HY248" s="90"/>
      <c r="HZ248" s="90"/>
      <c r="IA248" s="90"/>
      <c r="IB248" s="90"/>
      <c r="IC248" s="90"/>
      <c r="ID248" s="90"/>
      <c r="IE248" s="90"/>
      <c r="IF248" s="90"/>
      <c r="IG248" s="90"/>
      <c r="IH248" s="90"/>
      <c r="II248" s="90"/>
      <c r="IJ248" s="90"/>
      <c r="IK248" s="90"/>
      <c r="IL248" s="90"/>
      <c r="IM248" s="90"/>
      <c r="IN248" s="90"/>
      <c r="IO248" s="90"/>
      <c r="IP248" s="90"/>
      <c r="IQ248" s="90"/>
      <c r="IR248" s="90"/>
      <c r="IS248" s="90"/>
      <c r="IT248" s="90"/>
    </row>
    <row r="249" spans="1:254" ht="12" customHeight="1" x14ac:dyDescent="0.2">
      <c r="A249" s="71" t="s">
        <v>25</v>
      </c>
      <c r="B249" s="305" t="str">
        <f>Team3!$C$4</f>
        <v>Limavady</v>
      </c>
      <c r="C249" s="72">
        <v>3</v>
      </c>
      <c r="D249" s="299" t="str">
        <f>IF(Team3!G26="","",Team3!G26)</f>
        <v>Tom Cormie</v>
      </c>
      <c r="E249" s="307"/>
      <c r="F249" s="228">
        <v>21.53</v>
      </c>
      <c r="G249" s="229">
        <v>4</v>
      </c>
      <c r="H249" s="233">
        <f t="shared" si="38"/>
        <v>3</v>
      </c>
      <c r="I249" s="301"/>
      <c r="J249" s="297">
        <f>IF(SUM(H249:H250)=0,"",SUM(H249:H250))</f>
        <v>4</v>
      </c>
      <c r="K249" s="301"/>
      <c r="L249" s="90"/>
      <c r="N249" s="90" t="s">
        <v>156</v>
      </c>
      <c r="O249" s="90"/>
      <c r="P249" s="90"/>
      <c r="Q249" s="90">
        <f>(3+2)/2</f>
        <v>2.5</v>
      </c>
      <c r="R249" s="90" t="s">
        <v>155</v>
      </c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  <c r="HA249" s="90"/>
      <c r="HB249" s="90"/>
      <c r="HC249" s="90"/>
      <c r="HD249" s="90"/>
      <c r="HE249" s="90"/>
      <c r="HF249" s="90"/>
      <c r="HG249" s="90"/>
      <c r="HH249" s="90"/>
      <c r="HI249" s="90"/>
      <c r="HJ249" s="90"/>
      <c r="HK249" s="90"/>
      <c r="HL249" s="90"/>
      <c r="HM249" s="90"/>
      <c r="HN249" s="90"/>
      <c r="HO249" s="90"/>
      <c r="HP249" s="90"/>
      <c r="HQ249" s="90"/>
      <c r="HR249" s="90"/>
      <c r="HS249" s="90"/>
      <c r="HT249" s="90"/>
      <c r="HU249" s="90"/>
      <c r="HV249" s="90"/>
      <c r="HW249" s="90"/>
      <c r="HX249" s="90"/>
      <c r="HY249" s="90"/>
      <c r="HZ249" s="90"/>
      <c r="IA249" s="90"/>
      <c r="IB249" s="90"/>
      <c r="IC249" s="90"/>
      <c r="ID249" s="90"/>
      <c r="IE249" s="90"/>
      <c r="IF249" s="90"/>
      <c r="IG249" s="90"/>
      <c r="IH249" s="90"/>
      <c r="II249" s="90"/>
      <c r="IJ249" s="90"/>
      <c r="IK249" s="90"/>
      <c r="IL249" s="90"/>
      <c r="IM249" s="90"/>
      <c r="IN249" s="90"/>
      <c r="IO249" s="90"/>
      <c r="IP249" s="90"/>
      <c r="IQ249" s="90"/>
      <c r="IR249" s="90"/>
      <c r="IS249" s="90"/>
      <c r="IT249" s="90"/>
    </row>
    <row r="250" spans="1:254" ht="12" customHeight="1" thickBot="1" x14ac:dyDescent="0.25">
      <c r="A250" s="71" t="s">
        <v>32</v>
      </c>
      <c r="B250" s="306"/>
      <c r="C250" s="72">
        <v>6</v>
      </c>
      <c r="D250" s="299" t="str">
        <f>IF(Team3!H26="","",Team3!H26)</f>
        <v>Eoin Mc Alinden</v>
      </c>
      <c r="E250" s="307"/>
      <c r="F250" s="228">
        <v>21.97</v>
      </c>
      <c r="G250" s="229">
        <v>6</v>
      </c>
      <c r="H250" s="233">
        <f t="shared" si="38"/>
        <v>1</v>
      </c>
      <c r="I250" s="302"/>
      <c r="J250" s="298"/>
      <c r="K250" s="302"/>
      <c r="L250" s="90"/>
      <c r="N250" s="90" t="s">
        <v>157</v>
      </c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  <c r="HA250" s="90"/>
      <c r="HB250" s="90"/>
      <c r="HC250" s="90"/>
      <c r="HD250" s="90"/>
      <c r="HE250" s="90"/>
      <c r="HF250" s="90"/>
      <c r="HG250" s="90"/>
      <c r="HH250" s="90"/>
      <c r="HI250" s="90"/>
      <c r="HJ250" s="90"/>
      <c r="HK250" s="90"/>
      <c r="HL250" s="90"/>
      <c r="HM250" s="90"/>
      <c r="HN250" s="90"/>
      <c r="HO250" s="90"/>
      <c r="HP250" s="90"/>
      <c r="HQ250" s="90"/>
      <c r="HR250" s="90"/>
      <c r="HS250" s="90"/>
      <c r="HT250" s="90"/>
      <c r="HU250" s="90"/>
      <c r="HV250" s="90"/>
      <c r="HW250" s="90"/>
      <c r="HX250" s="90"/>
      <c r="HY250" s="90"/>
      <c r="HZ250" s="90"/>
      <c r="IA250" s="90"/>
      <c r="IB250" s="90"/>
      <c r="IC250" s="90"/>
      <c r="ID250" s="90"/>
      <c r="IE250" s="90"/>
      <c r="IF250" s="90"/>
      <c r="IG250" s="90"/>
      <c r="IH250" s="90"/>
      <c r="II250" s="90"/>
      <c r="IJ250" s="90"/>
      <c r="IK250" s="90"/>
      <c r="IL250" s="90"/>
      <c r="IM250" s="90"/>
      <c r="IN250" s="90"/>
      <c r="IO250" s="90"/>
      <c r="IP250" s="90"/>
      <c r="IQ250" s="90"/>
      <c r="IR250" s="90"/>
      <c r="IS250" s="90"/>
      <c r="IT250" s="90"/>
    </row>
    <row r="251" spans="1:254" ht="12" customHeight="1" x14ac:dyDescent="0.2">
      <c r="A251" s="71"/>
      <c r="B251" s="313" t="str">
        <f>Team1!$C$4</f>
        <v>Coleraine</v>
      </c>
      <c r="C251" s="174">
        <v>2</v>
      </c>
      <c r="D251" s="346" t="str">
        <f>IF(Team1!G26="","",Team1!G26)</f>
        <v xml:space="preserve">Campbell Smyth </v>
      </c>
      <c r="E251" s="347"/>
      <c r="F251" s="230">
        <v>21.88</v>
      </c>
      <c r="G251" s="231">
        <v>5</v>
      </c>
      <c r="H251" s="234">
        <f t="shared" si="38"/>
        <v>2</v>
      </c>
      <c r="I251" s="301"/>
      <c r="J251" s="301"/>
      <c r="K251" s="297">
        <f>IF(SUM(H251:H252)=0,"",SUM(H251:H252))</f>
        <v>6</v>
      </c>
      <c r="L251" s="90"/>
      <c r="N251" s="90" t="s">
        <v>159</v>
      </c>
      <c r="O251" s="90"/>
      <c r="P251" s="90"/>
      <c r="Q251" s="90">
        <f>(2+1)/2</f>
        <v>1.5</v>
      </c>
      <c r="R251" s="90" t="s">
        <v>155</v>
      </c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  <c r="HA251" s="90"/>
      <c r="HB251" s="90"/>
      <c r="HC251" s="90"/>
      <c r="HD251" s="90"/>
      <c r="HE251" s="90"/>
      <c r="HF251" s="90"/>
      <c r="HG251" s="90"/>
      <c r="HH251" s="90"/>
      <c r="HI251" s="90"/>
      <c r="HJ251" s="90"/>
      <c r="HK251" s="90"/>
      <c r="HL251" s="90"/>
      <c r="HM251" s="90"/>
      <c r="HN251" s="90"/>
      <c r="HO251" s="90"/>
      <c r="HP251" s="90"/>
      <c r="HQ251" s="90"/>
      <c r="HR251" s="90"/>
      <c r="HS251" s="90"/>
      <c r="HT251" s="90"/>
      <c r="HU251" s="90"/>
      <c r="HV251" s="90"/>
      <c r="HW251" s="90"/>
      <c r="HX251" s="90"/>
      <c r="HY251" s="90"/>
      <c r="HZ251" s="90"/>
      <c r="IA251" s="90"/>
      <c r="IB251" s="90"/>
      <c r="IC251" s="90"/>
      <c r="ID251" s="90"/>
      <c r="IE251" s="90"/>
      <c r="IF251" s="90"/>
      <c r="IG251" s="90"/>
      <c r="IH251" s="90"/>
      <c r="II251" s="90"/>
      <c r="IJ251" s="90"/>
      <c r="IK251" s="90"/>
      <c r="IL251" s="90"/>
      <c r="IM251" s="90"/>
      <c r="IN251" s="90"/>
      <c r="IO251" s="90"/>
      <c r="IP251" s="90"/>
      <c r="IQ251" s="90"/>
      <c r="IR251" s="90"/>
      <c r="IS251" s="90"/>
      <c r="IT251" s="90"/>
    </row>
    <row r="252" spans="1:254" ht="12" customHeight="1" thickBot="1" x14ac:dyDescent="0.25">
      <c r="A252" s="73"/>
      <c r="B252" s="304"/>
      <c r="C252" s="72">
        <v>5</v>
      </c>
      <c r="D252" s="299" t="str">
        <f>IF(Team1!H26="","",Team1!H26)</f>
        <v>Lewis Hawe</v>
      </c>
      <c r="E252" s="307"/>
      <c r="F252" s="228">
        <v>20.76</v>
      </c>
      <c r="G252" s="229">
        <v>3</v>
      </c>
      <c r="H252" s="233">
        <f t="shared" si="38"/>
        <v>4</v>
      </c>
      <c r="I252" s="302"/>
      <c r="J252" s="302"/>
      <c r="K252" s="298"/>
      <c r="L252" s="90"/>
      <c r="N252" s="90" t="s">
        <v>158</v>
      </c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  <c r="HA252" s="90"/>
      <c r="HB252" s="90"/>
      <c r="HC252" s="90"/>
      <c r="HD252" s="90"/>
      <c r="HE252" s="90"/>
      <c r="HF252" s="90"/>
      <c r="HG252" s="90"/>
      <c r="HH252" s="90"/>
      <c r="HI252" s="90"/>
      <c r="HJ252" s="90"/>
      <c r="HK252" s="90"/>
      <c r="HL252" s="90"/>
      <c r="HM252" s="90"/>
      <c r="HN252" s="90"/>
      <c r="HO252" s="90"/>
      <c r="HP252" s="90"/>
      <c r="HQ252" s="90"/>
      <c r="HR252" s="90"/>
      <c r="HS252" s="90"/>
      <c r="HT252" s="90"/>
      <c r="HU252" s="90"/>
      <c r="HV252" s="90"/>
      <c r="HW252" s="90"/>
      <c r="HX252" s="90"/>
      <c r="HY252" s="90"/>
      <c r="HZ252" s="90"/>
      <c r="IA252" s="90"/>
      <c r="IB252" s="90"/>
      <c r="IC252" s="90"/>
      <c r="ID252" s="90"/>
      <c r="IE252" s="90"/>
      <c r="IF252" s="90"/>
      <c r="IG252" s="90"/>
      <c r="IH252" s="90"/>
      <c r="II252" s="90"/>
      <c r="IJ252" s="90"/>
      <c r="IK252" s="90"/>
      <c r="IL252" s="90"/>
      <c r="IM252" s="90"/>
      <c r="IN252" s="90"/>
      <c r="IO252" s="90"/>
      <c r="IP252" s="90"/>
      <c r="IQ252" s="90"/>
      <c r="IR252" s="90"/>
      <c r="IS252" s="90"/>
      <c r="IT252" s="90"/>
    </row>
    <row r="253" spans="1:254" ht="12" customHeight="1" x14ac:dyDescent="0.2">
      <c r="A253" s="69"/>
      <c r="B253" s="303" t="str">
        <f>Team2!$C$4</f>
        <v>Lisburn</v>
      </c>
      <c r="C253" s="70">
        <v>4</v>
      </c>
      <c r="D253" s="338" t="str">
        <f>IF(Team2!C27="","",Team2!C27)</f>
        <v>Zara Hopkins</v>
      </c>
      <c r="E253" s="339"/>
      <c r="F253" s="226">
        <v>16.47</v>
      </c>
      <c r="G253" s="227">
        <v>1</v>
      </c>
      <c r="H253" s="232">
        <f>IF(G253="","",IF(G253=6,1,IF(G253=5,2,IF(G253=4,3,IF(G253=3,4,IF(G253=2,5,6))))))</f>
        <v>6</v>
      </c>
      <c r="I253" s="297">
        <f>IF(SUM(H253:H254)=0,"",SUM(H253:H254))</f>
        <v>10</v>
      </c>
      <c r="J253" s="301"/>
      <c r="K253" s="301"/>
      <c r="L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  <c r="HA253" s="90"/>
      <c r="HB253" s="90"/>
      <c r="HC253" s="90"/>
      <c r="HD253" s="90"/>
      <c r="HE253" s="90"/>
      <c r="HF253" s="90"/>
      <c r="HG253" s="90"/>
      <c r="HH253" s="90"/>
      <c r="HI253" s="90"/>
      <c r="HJ253" s="90"/>
      <c r="HK253" s="90"/>
      <c r="HL253" s="90"/>
      <c r="HM253" s="90"/>
      <c r="HN253" s="90"/>
      <c r="HO253" s="90"/>
      <c r="HP253" s="90"/>
      <c r="HQ253" s="90"/>
      <c r="HR253" s="90"/>
      <c r="HS253" s="90"/>
      <c r="HT253" s="90"/>
      <c r="HU253" s="90"/>
      <c r="HV253" s="90"/>
      <c r="HW253" s="90"/>
      <c r="HX253" s="90"/>
      <c r="HY253" s="90"/>
      <c r="HZ253" s="90"/>
      <c r="IA253" s="90"/>
      <c r="IB253" s="90"/>
      <c r="IC253" s="90"/>
      <c r="ID253" s="90"/>
      <c r="IE253" s="90"/>
      <c r="IF253" s="90"/>
      <c r="IG253" s="90"/>
      <c r="IH253" s="90"/>
      <c r="II253" s="90"/>
      <c r="IJ253" s="90"/>
      <c r="IK253" s="90"/>
      <c r="IL253" s="90"/>
      <c r="IM253" s="90"/>
      <c r="IN253" s="90"/>
      <c r="IO253" s="90"/>
      <c r="IP253" s="90"/>
      <c r="IQ253" s="90"/>
      <c r="IR253" s="90"/>
      <c r="IS253" s="90"/>
      <c r="IT253" s="90"/>
    </row>
    <row r="254" spans="1:254" ht="12" customHeight="1" thickBot="1" x14ac:dyDescent="0.25">
      <c r="A254" s="71">
        <v>31</v>
      </c>
      <c r="B254" s="304"/>
      <c r="C254" s="72">
        <v>1</v>
      </c>
      <c r="D254" s="299" t="str">
        <f>IF(Team2!D27="","",Team2!D27)</f>
        <v xml:space="preserve">Erin Fitzpatrick </v>
      </c>
      <c r="E254" s="307"/>
      <c r="F254" s="228">
        <v>17.88</v>
      </c>
      <c r="G254" s="229">
        <v>3</v>
      </c>
      <c r="H254" s="233">
        <f t="shared" ref="H254:H258" si="39">IF(G254="","",IF(G254=6,1,IF(G254=5,2,IF(G254=4,3,IF(G254=3,4,IF(G254=2,5,6))))))</f>
        <v>4</v>
      </c>
      <c r="I254" s="298"/>
      <c r="J254" s="302"/>
      <c r="K254" s="302"/>
      <c r="L254" s="90"/>
      <c r="N254" s="90" t="s">
        <v>160</v>
      </c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  <c r="HA254" s="90"/>
      <c r="HB254" s="90"/>
      <c r="HC254" s="90"/>
      <c r="HD254" s="90"/>
      <c r="HE254" s="90"/>
      <c r="HF254" s="90"/>
      <c r="HG254" s="90"/>
      <c r="HH254" s="90"/>
      <c r="HI254" s="90"/>
      <c r="HJ254" s="90"/>
      <c r="HK254" s="90"/>
      <c r="HL254" s="90"/>
      <c r="HM254" s="90"/>
      <c r="HN254" s="90"/>
      <c r="HO254" s="90"/>
      <c r="HP254" s="90"/>
      <c r="HQ254" s="90"/>
      <c r="HR254" s="90"/>
      <c r="HS254" s="90"/>
      <c r="HT254" s="90"/>
      <c r="HU254" s="90"/>
      <c r="HV254" s="90"/>
      <c r="HW254" s="90"/>
      <c r="HX254" s="90"/>
      <c r="HY254" s="90"/>
      <c r="HZ254" s="90"/>
      <c r="IA254" s="90"/>
      <c r="IB254" s="90"/>
      <c r="IC254" s="90"/>
      <c r="ID254" s="90"/>
      <c r="IE254" s="90"/>
      <c r="IF254" s="90"/>
      <c r="IG254" s="90"/>
      <c r="IH254" s="90"/>
      <c r="II254" s="90"/>
      <c r="IJ254" s="90"/>
      <c r="IK254" s="90"/>
      <c r="IL254" s="90"/>
      <c r="IM254" s="90"/>
      <c r="IN254" s="90"/>
      <c r="IO254" s="90"/>
      <c r="IP254" s="90"/>
      <c r="IQ254" s="90"/>
      <c r="IR254" s="90"/>
      <c r="IS254" s="90"/>
      <c r="IT254" s="90"/>
    </row>
    <row r="255" spans="1:254" ht="12.95" customHeight="1" x14ac:dyDescent="0.2">
      <c r="A255" s="71" t="s">
        <v>26</v>
      </c>
      <c r="B255" s="305" t="str">
        <f>Team3!$C$4</f>
        <v>Limavady</v>
      </c>
      <c r="C255" s="72">
        <v>3</v>
      </c>
      <c r="D255" s="299" t="str">
        <f>IF(Team3!C27="","",Team3!C27)</f>
        <v>Alice Caldwell</v>
      </c>
      <c r="E255" s="307"/>
      <c r="F255" s="228">
        <v>17.059999999999999</v>
      </c>
      <c r="G255" s="229">
        <v>2</v>
      </c>
      <c r="H255" s="233">
        <f t="shared" si="39"/>
        <v>5</v>
      </c>
      <c r="I255" s="301"/>
      <c r="J255" s="297">
        <f>IF(SUM(H255:H256)=0,"",SUM(H255:H256))</f>
        <v>6</v>
      </c>
      <c r="K255" s="301"/>
      <c r="L255" s="90"/>
      <c r="N255" s="90" t="s">
        <v>161</v>
      </c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  <c r="HA255" s="90"/>
      <c r="HB255" s="90"/>
      <c r="HC255" s="90"/>
      <c r="HD255" s="90"/>
      <c r="HE255" s="90"/>
      <c r="HF255" s="90"/>
      <c r="HG255" s="90"/>
      <c r="HH255" s="90"/>
      <c r="HI255" s="90"/>
      <c r="HJ255" s="90"/>
      <c r="HK255" s="90"/>
      <c r="HL255" s="90"/>
      <c r="HM255" s="90"/>
      <c r="HN255" s="90"/>
      <c r="HO255" s="90"/>
      <c r="HP255" s="90"/>
      <c r="HQ255" s="90"/>
      <c r="HR255" s="90"/>
      <c r="HS255" s="90"/>
      <c r="HT255" s="90"/>
      <c r="HU255" s="90"/>
      <c r="HV255" s="90"/>
      <c r="HW255" s="90"/>
      <c r="HX255" s="90"/>
      <c r="HY255" s="90"/>
      <c r="HZ255" s="90"/>
      <c r="IA255" s="90"/>
      <c r="IB255" s="90"/>
      <c r="IC255" s="90"/>
      <c r="ID255" s="90"/>
      <c r="IE255" s="90"/>
      <c r="IF255" s="90"/>
      <c r="IG255" s="90"/>
      <c r="IH255" s="90"/>
      <c r="II255" s="90"/>
      <c r="IJ255" s="90"/>
      <c r="IK255" s="90"/>
      <c r="IL255" s="90"/>
      <c r="IM255" s="90"/>
      <c r="IN255" s="90"/>
      <c r="IO255" s="90"/>
      <c r="IP255" s="90"/>
      <c r="IQ255" s="90"/>
      <c r="IR255" s="90"/>
      <c r="IS255" s="90"/>
      <c r="IT255" s="90"/>
    </row>
    <row r="256" spans="1:254" ht="12.95" customHeight="1" thickBot="1" x14ac:dyDescent="0.25">
      <c r="A256" s="71" t="s">
        <v>31</v>
      </c>
      <c r="B256" s="306"/>
      <c r="C256" s="72">
        <v>6</v>
      </c>
      <c r="D256" s="299" t="str">
        <f>IF(Team3!D27="","",Team3!D27)</f>
        <v>Katie Keown</v>
      </c>
      <c r="E256" s="307"/>
      <c r="F256" s="228">
        <v>19.12</v>
      </c>
      <c r="G256" s="229">
        <v>6</v>
      </c>
      <c r="H256" s="233">
        <f t="shared" si="39"/>
        <v>1</v>
      </c>
      <c r="I256" s="302"/>
      <c r="J256" s="298"/>
      <c r="K256" s="302"/>
      <c r="L256" s="90"/>
      <c r="N256" s="90" t="s">
        <v>162</v>
      </c>
      <c r="O256" s="90"/>
      <c r="P256" s="90"/>
      <c r="Q256" s="90">
        <f>(6+5+4)/3</f>
        <v>5</v>
      </c>
      <c r="R256" s="90" t="s">
        <v>155</v>
      </c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  <c r="HA256" s="90"/>
      <c r="HB256" s="90"/>
      <c r="HC256" s="90"/>
      <c r="HD256" s="90"/>
      <c r="HE256" s="90"/>
      <c r="HF256" s="90"/>
      <c r="HG256" s="90"/>
      <c r="HH256" s="90"/>
      <c r="HI256" s="90"/>
      <c r="HJ256" s="90"/>
      <c r="HK256" s="90"/>
      <c r="HL256" s="90"/>
      <c r="HM256" s="90"/>
      <c r="HN256" s="90"/>
      <c r="HO256" s="90"/>
      <c r="HP256" s="90"/>
      <c r="HQ256" s="90"/>
      <c r="HR256" s="90"/>
      <c r="HS256" s="90"/>
      <c r="HT256" s="90"/>
      <c r="HU256" s="90"/>
      <c r="HV256" s="90"/>
      <c r="HW256" s="90"/>
      <c r="HX256" s="90"/>
      <c r="HY256" s="90"/>
      <c r="HZ256" s="90"/>
      <c r="IA256" s="90"/>
      <c r="IB256" s="90"/>
      <c r="IC256" s="90"/>
      <c r="ID256" s="90"/>
      <c r="IE256" s="90"/>
      <c r="IF256" s="90"/>
      <c r="IG256" s="90"/>
      <c r="IH256" s="90"/>
      <c r="II256" s="90"/>
      <c r="IJ256" s="90"/>
      <c r="IK256" s="90"/>
      <c r="IL256" s="90"/>
      <c r="IM256" s="90"/>
      <c r="IN256" s="90"/>
      <c r="IO256" s="90"/>
      <c r="IP256" s="90"/>
      <c r="IQ256" s="90"/>
      <c r="IR256" s="90"/>
      <c r="IS256" s="90"/>
      <c r="IT256" s="90"/>
    </row>
    <row r="257" spans="1:254" ht="12" customHeight="1" x14ac:dyDescent="0.2">
      <c r="A257" s="71"/>
      <c r="B257" s="313" t="str">
        <f>Team1!$C$4</f>
        <v>Coleraine</v>
      </c>
      <c r="C257" s="174">
        <v>2</v>
      </c>
      <c r="D257" s="299" t="str">
        <f>IF(Team1!C27="","",Team1!C27)</f>
        <v>Rose McKenna</v>
      </c>
      <c r="E257" s="307"/>
      <c r="F257" s="228">
        <v>17.91</v>
      </c>
      <c r="G257" s="229">
        <v>4</v>
      </c>
      <c r="H257" s="233">
        <f t="shared" si="39"/>
        <v>3</v>
      </c>
      <c r="I257" s="301"/>
      <c r="J257" s="301"/>
      <c r="K257" s="297">
        <f>IF(SUM(H257:H258)=0,"",SUM(H257:H258))</f>
        <v>5</v>
      </c>
      <c r="L257" s="90"/>
      <c r="N257" s="90" t="s">
        <v>153</v>
      </c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  <c r="HA257" s="90"/>
      <c r="HB257" s="90"/>
      <c r="HC257" s="90"/>
      <c r="HD257" s="90"/>
      <c r="HE257" s="90"/>
      <c r="HF257" s="90"/>
      <c r="HG257" s="90"/>
      <c r="HH257" s="90"/>
      <c r="HI257" s="90"/>
      <c r="HJ257" s="90"/>
      <c r="HK257" s="90"/>
      <c r="HL257" s="90"/>
      <c r="HM257" s="90"/>
      <c r="HN257" s="90"/>
      <c r="HO257" s="90"/>
      <c r="HP257" s="90"/>
      <c r="HQ257" s="90"/>
      <c r="HR257" s="90"/>
      <c r="HS257" s="90"/>
      <c r="HT257" s="90"/>
      <c r="HU257" s="90"/>
      <c r="HV257" s="90"/>
      <c r="HW257" s="90"/>
      <c r="HX257" s="90"/>
      <c r="HY257" s="90"/>
      <c r="HZ257" s="90"/>
      <c r="IA257" s="90"/>
      <c r="IB257" s="90"/>
      <c r="IC257" s="90"/>
      <c r="ID257" s="90"/>
      <c r="IE257" s="90"/>
      <c r="IF257" s="90"/>
      <c r="IG257" s="90"/>
      <c r="IH257" s="90"/>
      <c r="II257" s="90"/>
      <c r="IJ257" s="90"/>
      <c r="IK257" s="90"/>
      <c r="IL257" s="90"/>
      <c r="IM257" s="90"/>
      <c r="IN257" s="90"/>
      <c r="IO257" s="90"/>
      <c r="IP257" s="90"/>
      <c r="IQ257" s="90"/>
      <c r="IR257" s="90"/>
      <c r="IS257" s="90"/>
      <c r="IT257" s="90"/>
    </row>
    <row r="258" spans="1:254" ht="12" customHeight="1" thickBot="1" x14ac:dyDescent="0.25">
      <c r="A258" s="73"/>
      <c r="B258" s="304"/>
      <c r="C258" s="72">
        <v>5</v>
      </c>
      <c r="D258" s="299" t="str">
        <f>IF(Team1!D27="","",Team1!D27)</f>
        <v>Erin Isley</v>
      </c>
      <c r="E258" s="307"/>
      <c r="F258" s="228">
        <v>18.420000000000002</v>
      </c>
      <c r="G258" s="229">
        <v>5</v>
      </c>
      <c r="H258" s="233">
        <f t="shared" si="39"/>
        <v>2</v>
      </c>
      <c r="I258" s="302"/>
      <c r="J258" s="302"/>
      <c r="K258" s="298"/>
      <c r="L258" s="90"/>
      <c r="N258" s="90" t="s">
        <v>163</v>
      </c>
      <c r="O258" s="90"/>
      <c r="P258" s="90"/>
      <c r="Q258" s="90">
        <f>(5+4+3)/3</f>
        <v>4</v>
      </c>
      <c r="R258" s="90" t="s">
        <v>155</v>
      </c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  <c r="HA258" s="90"/>
      <c r="HB258" s="90"/>
      <c r="HC258" s="90"/>
      <c r="HD258" s="90"/>
      <c r="HE258" s="90"/>
      <c r="HF258" s="90"/>
      <c r="HG258" s="90"/>
      <c r="HH258" s="90"/>
      <c r="HI258" s="90"/>
      <c r="HJ258" s="90"/>
      <c r="HK258" s="90"/>
      <c r="HL258" s="90"/>
      <c r="HM258" s="90"/>
      <c r="HN258" s="90"/>
      <c r="HO258" s="90"/>
      <c r="HP258" s="90"/>
      <c r="HQ258" s="90"/>
      <c r="HR258" s="90"/>
      <c r="HS258" s="90"/>
      <c r="HT258" s="90"/>
      <c r="HU258" s="90"/>
      <c r="HV258" s="90"/>
      <c r="HW258" s="90"/>
      <c r="HX258" s="90"/>
      <c r="HY258" s="90"/>
      <c r="HZ258" s="90"/>
      <c r="IA258" s="90"/>
      <c r="IB258" s="90"/>
      <c r="IC258" s="90"/>
      <c r="ID258" s="90"/>
      <c r="IE258" s="90"/>
      <c r="IF258" s="90"/>
      <c r="IG258" s="90"/>
      <c r="IH258" s="90"/>
      <c r="II258" s="90"/>
      <c r="IJ258" s="90"/>
      <c r="IK258" s="90"/>
      <c r="IL258" s="90"/>
      <c r="IM258" s="90"/>
      <c r="IN258" s="90"/>
      <c r="IO258" s="90"/>
      <c r="IP258" s="90"/>
      <c r="IQ258" s="90"/>
      <c r="IR258" s="90"/>
      <c r="IS258" s="90"/>
      <c r="IT258" s="90"/>
    </row>
    <row r="259" spans="1:254" ht="12" customHeight="1" x14ac:dyDescent="0.2">
      <c r="A259" s="69"/>
      <c r="B259" s="303" t="str">
        <f>Team2!$C$4</f>
        <v>Lisburn</v>
      </c>
      <c r="C259" s="70">
        <v>4</v>
      </c>
      <c r="D259" s="338" t="str">
        <f>IF(Team2!G27="","",Team2!G27)</f>
        <v>Luke Coleman</v>
      </c>
      <c r="E259" s="339"/>
      <c r="F259" s="226">
        <v>18.12</v>
      </c>
      <c r="G259" s="227">
        <v>4</v>
      </c>
      <c r="H259" s="232">
        <f>IF(G259="","",IF(G259=6,1,IF(G259=5,2,IF(G259=4,3,IF(G259=3,4,IF(G259=2,5,6))))))</f>
        <v>3</v>
      </c>
      <c r="I259" s="297">
        <f>IF(SUM(H259:H260)=0,"",SUM(H259:H260))</f>
        <v>4</v>
      </c>
      <c r="J259" s="301"/>
      <c r="K259" s="301"/>
      <c r="L259" s="90"/>
      <c r="N259" s="90" t="s">
        <v>154</v>
      </c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  <c r="HA259" s="90"/>
      <c r="HB259" s="90"/>
      <c r="HC259" s="90"/>
      <c r="HD259" s="90"/>
      <c r="HE259" s="90"/>
      <c r="HF259" s="90"/>
      <c r="HG259" s="90"/>
      <c r="HH259" s="90"/>
      <c r="HI259" s="90"/>
      <c r="HJ259" s="90"/>
      <c r="HK259" s="90"/>
      <c r="HL259" s="90"/>
      <c r="HM259" s="90"/>
      <c r="HN259" s="90"/>
      <c r="HO259" s="90"/>
      <c r="HP259" s="90"/>
      <c r="HQ259" s="90"/>
      <c r="HR259" s="90"/>
      <c r="HS259" s="90"/>
      <c r="HT259" s="90"/>
      <c r="HU259" s="90"/>
      <c r="HV259" s="90"/>
      <c r="HW259" s="90"/>
      <c r="HX259" s="90"/>
      <c r="HY259" s="90"/>
      <c r="HZ259" s="90"/>
      <c r="IA259" s="90"/>
      <c r="IB259" s="90"/>
      <c r="IC259" s="90"/>
      <c r="ID259" s="90"/>
      <c r="IE259" s="90"/>
      <c r="IF259" s="90"/>
      <c r="IG259" s="90"/>
      <c r="IH259" s="90"/>
      <c r="II259" s="90"/>
      <c r="IJ259" s="90"/>
      <c r="IK259" s="90"/>
      <c r="IL259" s="90"/>
      <c r="IM259" s="90"/>
      <c r="IN259" s="90"/>
      <c r="IO259" s="90"/>
      <c r="IP259" s="90"/>
      <c r="IQ259" s="90"/>
      <c r="IR259" s="90"/>
      <c r="IS259" s="90"/>
      <c r="IT259" s="90"/>
    </row>
    <row r="260" spans="1:254" ht="12" customHeight="1" thickBot="1" x14ac:dyDescent="0.25">
      <c r="A260" s="71">
        <v>32</v>
      </c>
      <c r="B260" s="304"/>
      <c r="C260" s="72">
        <v>1</v>
      </c>
      <c r="D260" s="299" t="str">
        <f>IF(Team2!H27="","",Team2!H27)</f>
        <v>Charlie Williamson</v>
      </c>
      <c r="E260" s="307"/>
      <c r="F260" s="228">
        <v>19.399999999999999</v>
      </c>
      <c r="G260" s="229">
        <v>6</v>
      </c>
      <c r="H260" s="233">
        <f t="shared" ref="H260:H264" si="40">IF(G260="","",IF(G260=6,1,IF(G260=5,2,IF(G260=4,3,IF(G260=3,4,IF(G260=2,5,6))))))</f>
        <v>1</v>
      </c>
      <c r="I260" s="298"/>
      <c r="J260" s="302"/>
      <c r="K260" s="302"/>
      <c r="L260" s="90"/>
      <c r="N260" s="90" t="s">
        <v>164</v>
      </c>
      <c r="O260" s="90"/>
      <c r="P260" s="90"/>
      <c r="Q260" s="90">
        <f>(4+3+2)/3</f>
        <v>3</v>
      </c>
      <c r="R260" s="90" t="s">
        <v>155</v>
      </c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  <c r="HA260" s="90"/>
      <c r="HB260" s="90"/>
      <c r="HC260" s="90"/>
      <c r="HD260" s="90"/>
      <c r="HE260" s="90"/>
      <c r="HF260" s="90"/>
      <c r="HG260" s="90"/>
      <c r="HH260" s="90"/>
      <c r="HI260" s="90"/>
      <c r="HJ260" s="90"/>
      <c r="HK260" s="90"/>
      <c r="HL260" s="90"/>
      <c r="HM260" s="90"/>
      <c r="HN260" s="90"/>
      <c r="HO260" s="90"/>
      <c r="HP260" s="90"/>
      <c r="HQ260" s="90"/>
      <c r="HR260" s="90"/>
      <c r="HS260" s="90"/>
      <c r="HT260" s="90"/>
      <c r="HU260" s="90"/>
      <c r="HV260" s="90"/>
      <c r="HW260" s="90"/>
      <c r="HX260" s="90"/>
      <c r="HY260" s="90"/>
      <c r="HZ260" s="90"/>
      <c r="IA260" s="90"/>
      <c r="IB260" s="90"/>
      <c r="IC260" s="90"/>
      <c r="ID260" s="90"/>
      <c r="IE260" s="90"/>
      <c r="IF260" s="90"/>
      <c r="IG260" s="90"/>
      <c r="IH260" s="90"/>
      <c r="II260" s="90"/>
      <c r="IJ260" s="90"/>
      <c r="IK260" s="90"/>
      <c r="IL260" s="90"/>
      <c r="IM260" s="90"/>
      <c r="IN260" s="90"/>
      <c r="IO260" s="90"/>
      <c r="IP260" s="90"/>
      <c r="IQ260" s="90"/>
      <c r="IR260" s="90"/>
      <c r="IS260" s="90"/>
      <c r="IT260" s="90"/>
    </row>
    <row r="261" spans="1:254" ht="12.75" customHeight="1" x14ac:dyDescent="0.2">
      <c r="A261" s="71" t="s">
        <v>26</v>
      </c>
      <c r="B261" s="305" t="str">
        <f>Team3!$C$4</f>
        <v>Limavady</v>
      </c>
      <c r="C261" s="72">
        <v>3</v>
      </c>
      <c r="D261" s="299" t="str">
        <f>IF(Team3!G27="","",Team3!G27)</f>
        <v>Kevin Mc Macken</v>
      </c>
      <c r="E261" s="307"/>
      <c r="F261" s="228">
        <v>16.899999999999999</v>
      </c>
      <c r="G261" s="229">
        <v>1</v>
      </c>
      <c r="H261" s="233">
        <f t="shared" si="40"/>
        <v>6</v>
      </c>
      <c r="I261" s="301"/>
      <c r="J261" s="297">
        <f>IF(SUM(H261:H262)=0,"",SUM(H261:H262))</f>
        <v>10</v>
      </c>
      <c r="K261" s="301"/>
      <c r="L261" s="90"/>
      <c r="N261" s="90" t="s">
        <v>157</v>
      </c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  <c r="HA261" s="90"/>
      <c r="HB261" s="90"/>
      <c r="HC261" s="90"/>
      <c r="HD261" s="90"/>
      <c r="HE261" s="90"/>
      <c r="HF261" s="90"/>
      <c r="HG261" s="90"/>
      <c r="HH261" s="90"/>
      <c r="HI261" s="90"/>
      <c r="HJ261" s="90"/>
      <c r="HK261" s="90"/>
      <c r="HL261" s="90"/>
      <c r="HM261" s="90"/>
      <c r="HN261" s="90"/>
      <c r="HO261" s="90"/>
      <c r="HP261" s="90"/>
      <c r="HQ261" s="90"/>
      <c r="HR261" s="90"/>
      <c r="HS261" s="90"/>
      <c r="HT261" s="90"/>
      <c r="HU261" s="90"/>
      <c r="HV261" s="90"/>
      <c r="HW261" s="90"/>
      <c r="HX261" s="90"/>
      <c r="HY261" s="90"/>
      <c r="HZ261" s="90"/>
      <c r="IA261" s="90"/>
      <c r="IB261" s="90"/>
      <c r="IC261" s="90"/>
      <c r="ID261" s="90"/>
      <c r="IE261" s="90"/>
      <c r="IF261" s="90"/>
      <c r="IG261" s="90"/>
      <c r="IH261" s="90"/>
      <c r="II261" s="90"/>
      <c r="IJ261" s="90"/>
      <c r="IK261" s="90"/>
      <c r="IL261" s="90"/>
      <c r="IM261" s="90"/>
      <c r="IN261" s="90"/>
      <c r="IO261" s="90"/>
      <c r="IP261" s="90"/>
      <c r="IQ261" s="90"/>
      <c r="IR261" s="90"/>
      <c r="IS261" s="90"/>
      <c r="IT261" s="90"/>
    </row>
    <row r="262" spans="1:254" ht="12.75" customHeight="1" thickBot="1" x14ac:dyDescent="0.25">
      <c r="A262" s="71" t="s">
        <v>32</v>
      </c>
      <c r="B262" s="306"/>
      <c r="C262" s="72">
        <v>6</v>
      </c>
      <c r="D262" s="299" t="str">
        <f>IF(Team3!H27="","",Team3!H27)</f>
        <v>Sam Staats Howard</v>
      </c>
      <c r="E262" s="307"/>
      <c r="F262" s="228">
        <v>18.03</v>
      </c>
      <c r="G262" s="229">
        <v>3</v>
      </c>
      <c r="H262" s="233">
        <f t="shared" si="40"/>
        <v>4</v>
      </c>
      <c r="I262" s="302"/>
      <c r="J262" s="298"/>
      <c r="K262" s="302"/>
      <c r="L262" s="90"/>
      <c r="N262" s="90" t="s">
        <v>165</v>
      </c>
      <c r="O262" s="90"/>
      <c r="P262" s="90"/>
      <c r="Q262" s="90">
        <f>(3+2+1)/3</f>
        <v>2</v>
      </c>
      <c r="R262" s="90" t="s">
        <v>155</v>
      </c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  <c r="HA262" s="90"/>
      <c r="HB262" s="90"/>
      <c r="HC262" s="90"/>
      <c r="HD262" s="90"/>
      <c r="HE262" s="90"/>
      <c r="HF262" s="90"/>
      <c r="HG262" s="90"/>
      <c r="HH262" s="90"/>
      <c r="HI262" s="90"/>
      <c r="HJ262" s="90"/>
      <c r="HK262" s="90"/>
      <c r="HL262" s="90"/>
      <c r="HM262" s="90"/>
      <c r="HN262" s="90"/>
      <c r="HO262" s="90"/>
      <c r="HP262" s="90"/>
      <c r="HQ262" s="90"/>
      <c r="HR262" s="90"/>
      <c r="HS262" s="90"/>
      <c r="HT262" s="90"/>
      <c r="HU262" s="90"/>
      <c r="HV262" s="90"/>
      <c r="HW262" s="90"/>
      <c r="HX262" s="90"/>
      <c r="HY262" s="90"/>
      <c r="HZ262" s="90"/>
      <c r="IA262" s="90"/>
      <c r="IB262" s="90"/>
      <c r="IC262" s="90"/>
      <c r="ID262" s="90"/>
      <c r="IE262" s="90"/>
      <c r="IF262" s="90"/>
      <c r="IG262" s="90"/>
      <c r="IH262" s="90"/>
      <c r="II262" s="90"/>
      <c r="IJ262" s="90"/>
      <c r="IK262" s="90"/>
      <c r="IL262" s="90"/>
      <c r="IM262" s="90"/>
      <c r="IN262" s="90"/>
      <c r="IO262" s="90"/>
      <c r="IP262" s="90"/>
      <c r="IQ262" s="90"/>
      <c r="IR262" s="90"/>
      <c r="IS262" s="90"/>
      <c r="IT262" s="90"/>
    </row>
    <row r="263" spans="1:254" ht="12" customHeight="1" x14ac:dyDescent="0.2">
      <c r="A263" s="71"/>
      <c r="B263" s="313" t="str">
        <f>Team1!$C$4</f>
        <v>Coleraine</v>
      </c>
      <c r="C263" s="174">
        <v>2</v>
      </c>
      <c r="D263" s="299" t="str">
        <f>IF(Team1!G27="","",Team1!G27)</f>
        <v>James Hegarty</v>
      </c>
      <c r="E263" s="307"/>
      <c r="F263" s="228">
        <v>18.41</v>
      </c>
      <c r="G263" s="229">
        <v>5</v>
      </c>
      <c r="H263" s="233">
        <f t="shared" si="40"/>
        <v>2</v>
      </c>
      <c r="I263" s="301"/>
      <c r="J263" s="301"/>
      <c r="K263" s="297">
        <f>IF(SUM(H263:H264)=0,"",SUM(H263:H264))</f>
        <v>7</v>
      </c>
      <c r="L263" s="90"/>
      <c r="N263" s="90" t="s">
        <v>158</v>
      </c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  <c r="HA263" s="90"/>
      <c r="HB263" s="90"/>
      <c r="HC263" s="90"/>
      <c r="HD263" s="90"/>
      <c r="HE263" s="90"/>
      <c r="HF263" s="90"/>
      <c r="HG263" s="90"/>
      <c r="HH263" s="90"/>
      <c r="HI263" s="90"/>
      <c r="HJ263" s="90"/>
      <c r="HK263" s="90"/>
      <c r="HL263" s="90"/>
      <c r="HM263" s="90"/>
      <c r="HN263" s="90"/>
      <c r="HO263" s="90"/>
      <c r="HP263" s="90"/>
      <c r="HQ263" s="90"/>
      <c r="HR263" s="90"/>
      <c r="HS263" s="90"/>
      <c r="HT263" s="90"/>
      <c r="HU263" s="90"/>
      <c r="HV263" s="90"/>
      <c r="HW263" s="90"/>
      <c r="HX263" s="90"/>
      <c r="HY263" s="90"/>
      <c r="HZ263" s="90"/>
      <c r="IA263" s="90"/>
      <c r="IB263" s="90"/>
      <c r="IC263" s="90"/>
      <c r="ID263" s="90"/>
      <c r="IE263" s="90"/>
      <c r="IF263" s="90"/>
      <c r="IG263" s="90"/>
      <c r="IH263" s="90"/>
      <c r="II263" s="90"/>
      <c r="IJ263" s="90"/>
      <c r="IK263" s="90"/>
      <c r="IL263" s="90"/>
      <c r="IM263" s="90"/>
      <c r="IN263" s="90"/>
      <c r="IO263" s="90"/>
      <c r="IP263" s="90"/>
      <c r="IQ263" s="90"/>
      <c r="IR263" s="90"/>
      <c r="IS263" s="90"/>
      <c r="IT263" s="90"/>
    </row>
    <row r="264" spans="1:254" ht="12" customHeight="1" thickBot="1" x14ac:dyDescent="0.25">
      <c r="A264" s="73"/>
      <c r="B264" s="304"/>
      <c r="C264" s="72">
        <v>5</v>
      </c>
      <c r="D264" s="299" t="str">
        <f>IF(Team1!H27="","",Team1!H27)</f>
        <v>Noah McClelland</v>
      </c>
      <c r="E264" s="307"/>
      <c r="F264" s="228">
        <v>17.239999999999998</v>
      </c>
      <c r="G264" s="229">
        <v>2</v>
      </c>
      <c r="H264" s="233">
        <f t="shared" si="40"/>
        <v>5</v>
      </c>
      <c r="I264" s="302"/>
      <c r="J264" s="302"/>
      <c r="K264" s="298"/>
      <c r="L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  <c r="HA264" s="90"/>
      <c r="HB264" s="90"/>
      <c r="HC264" s="90"/>
      <c r="HD264" s="90"/>
      <c r="HE264" s="90"/>
      <c r="HF264" s="90"/>
      <c r="HG264" s="90"/>
      <c r="HH264" s="90"/>
      <c r="HI264" s="90"/>
      <c r="HJ264" s="90"/>
      <c r="HK264" s="90"/>
      <c r="HL264" s="90"/>
      <c r="HM264" s="90"/>
      <c r="HN264" s="90"/>
      <c r="HO264" s="90"/>
      <c r="HP264" s="90"/>
      <c r="HQ264" s="90"/>
      <c r="HR264" s="90"/>
      <c r="HS264" s="90"/>
      <c r="HT264" s="90"/>
      <c r="HU264" s="90"/>
      <c r="HV264" s="90"/>
      <c r="HW264" s="90"/>
      <c r="HX264" s="90"/>
      <c r="HY264" s="90"/>
      <c r="HZ264" s="90"/>
      <c r="IA264" s="90"/>
      <c r="IB264" s="90"/>
      <c r="IC264" s="90"/>
      <c r="ID264" s="90"/>
      <c r="IE264" s="90"/>
      <c r="IF264" s="90"/>
      <c r="IG264" s="90"/>
      <c r="IH264" s="90"/>
      <c r="II264" s="90"/>
      <c r="IJ264" s="90"/>
      <c r="IK264" s="90"/>
      <c r="IL264" s="90"/>
      <c r="IM264" s="90"/>
      <c r="IN264" s="90"/>
      <c r="IO264" s="90"/>
      <c r="IP264" s="90"/>
      <c r="IQ264" s="90"/>
      <c r="IR264" s="90"/>
      <c r="IS264" s="90"/>
      <c r="IT264" s="90"/>
    </row>
    <row r="265" spans="1:254" ht="12" customHeight="1" x14ac:dyDescent="0.2">
      <c r="A265" s="69"/>
      <c r="B265" s="303" t="str">
        <f>Team2!$C$4</f>
        <v>Lisburn</v>
      </c>
      <c r="C265" s="70">
        <v>4</v>
      </c>
      <c r="D265" s="338" t="str">
        <f>IF(Team2!C28="","",Team2!C28)</f>
        <v>Sinead McQuillan</v>
      </c>
      <c r="E265" s="339"/>
      <c r="F265" s="226">
        <v>17.3</v>
      </c>
      <c r="G265" s="227">
        <v>2</v>
      </c>
      <c r="H265" s="232">
        <f>IF(G265="","",IF(G265=6,1,IF(G265=5,2,IF(G265=4,3,IF(G265=3,4,IF(G265=2,5,6))))))</f>
        <v>5</v>
      </c>
      <c r="I265" s="297">
        <f>IF(SUM(H265:H266)=0,"",SUM(H265:H266))</f>
        <v>6</v>
      </c>
      <c r="J265" s="301"/>
      <c r="K265" s="301"/>
      <c r="L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  <c r="HA265" s="90"/>
      <c r="HB265" s="90"/>
      <c r="HC265" s="90"/>
      <c r="HD265" s="90"/>
      <c r="HE265" s="90"/>
      <c r="HF265" s="90"/>
      <c r="HG265" s="90"/>
      <c r="HH265" s="90"/>
      <c r="HI265" s="90"/>
      <c r="HJ265" s="90"/>
      <c r="HK265" s="90"/>
      <c r="HL265" s="90"/>
      <c r="HM265" s="90"/>
      <c r="HN265" s="90"/>
      <c r="HO265" s="90"/>
      <c r="HP265" s="90"/>
      <c r="HQ265" s="90"/>
      <c r="HR265" s="90"/>
      <c r="HS265" s="90"/>
      <c r="HT265" s="90"/>
      <c r="HU265" s="90"/>
      <c r="HV265" s="90"/>
      <c r="HW265" s="90"/>
      <c r="HX265" s="90"/>
      <c r="HY265" s="90"/>
      <c r="HZ265" s="90"/>
      <c r="IA265" s="90"/>
      <c r="IB265" s="90"/>
      <c r="IC265" s="90"/>
      <c r="ID265" s="90"/>
      <c r="IE265" s="90"/>
      <c r="IF265" s="90"/>
      <c r="IG265" s="90"/>
      <c r="IH265" s="90"/>
      <c r="II265" s="90"/>
      <c r="IJ265" s="90"/>
      <c r="IK265" s="90"/>
      <c r="IL265" s="90"/>
      <c r="IM265" s="90"/>
      <c r="IN265" s="90"/>
      <c r="IO265" s="90"/>
      <c r="IP265" s="90"/>
      <c r="IQ265" s="90"/>
      <c r="IR265" s="90"/>
      <c r="IS265" s="90"/>
      <c r="IT265" s="90"/>
    </row>
    <row r="266" spans="1:254" ht="12" customHeight="1" thickBot="1" x14ac:dyDescent="0.25">
      <c r="A266" s="71">
        <v>33</v>
      </c>
      <c r="B266" s="304"/>
      <c r="C266" s="72">
        <v>1</v>
      </c>
      <c r="D266" s="348" t="str">
        <f>IF(Team2!D28="","",Team2!D28)</f>
        <v>Evie Lowry</v>
      </c>
      <c r="E266" s="307"/>
      <c r="F266" s="228">
        <v>18.62</v>
      </c>
      <c r="G266" s="229">
        <v>6</v>
      </c>
      <c r="H266" s="233">
        <f t="shared" ref="H266:H270" si="41">IF(G266="","",IF(G266=6,1,IF(G266=5,2,IF(G266=4,3,IF(G266=3,4,IF(G266=2,5,6))))))</f>
        <v>1</v>
      </c>
      <c r="I266" s="298"/>
      <c r="J266" s="302"/>
      <c r="K266" s="302"/>
      <c r="L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  <c r="HA266" s="90"/>
      <c r="HB266" s="90"/>
      <c r="HC266" s="90"/>
      <c r="HD266" s="90"/>
      <c r="HE266" s="90"/>
      <c r="HF266" s="90"/>
      <c r="HG266" s="90"/>
      <c r="HH266" s="90"/>
      <c r="HI266" s="90"/>
      <c r="HJ266" s="90"/>
      <c r="HK266" s="90"/>
      <c r="HL266" s="90"/>
      <c r="HM266" s="90"/>
      <c r="HN266" s="90"/>
      <c r="HO266" s="90"/>
      <c r="HP266" s="90"/>
      <c r="HQ266" s="90"/>
      <c r="HR266" s="90"/>
      <c r="HS266" s="90"/>
      <c r="HT266" s="90"/>
      <c r="HU266" s="90"/>
      <c r="HV266" s="90"/>
      <c r="HW266" s="90"/>
      <c r="HX266" s="90"/>
      <c r="HY266" s="90"/>
      <c r="HZ266" s="90"/>
      <c r="IA266" s="90"/>
      <c r="IB266" s="90"/>
      <c r="IC266" s="90"/>
      <c r="ID266" s="90"/>
      <c r="IE266" s="90"/>
      <c r="IF266" s="90"/>
      <c r="IG266" s="90"/>
      <c r="IH266" s="90"/>
      <c r="II266" s="90"/>
      <c r="IJ266" s="90"/>
      <c r="IK266" s="90"/>
      <c r="IL266" s="90"/>
      <c r="IM266" s="90"/>
      <c r="IN266" s="90"/>
      <c r="IO266" s="90"/>
      <c r="IP266" s="90"/>
      <c r="IQ266" s="90"/>
      <c r="IR266" s="90"/>
      <c r="IS266" s="90"/>
      <c r="IT266" s="90"/>
    </row>
    <row r="267" spans="1:254" ht="12" customHeight="1" x14ac:dyDescent="0.2">
      <c r="A267" s="71" t="s">
        <v>27</v>
      </c>
      <c r="B267" s="305" t="str">
        <f>Team3!$C$4</f>
        <v>Limavady</v>
      </c>
      <c r="C267" s="72">
        <v>3</v>
      </c>
      <c r="D267" s="348" t="str">
        <f>IF(Team3!C28="","",Team3!C28)</f>
        <v>Anna Mc Gookin</v>
      </c>
      <c r="E267" s="307"/>
      <c r="F267" s="228">
        <v>16.88</v>
      </c>
      <c r="G267" s="229">
        <v>1</v>
      </c>
      <c r="H267" s="233">
        <f t="shared" si="41"/>
        <v>6</v>
      </c>
      <c r="I267" s="301"/>
      <c r="J267" s="297">
        <f>IF(SUM(H267:H268)=0,"",SUM(H267:H268))</f>
        <v>9</v>
      </c>
      <c r="K267" s="301"/>
      <c r="L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  <c r="HA267" s="90"/>
      <c r="HB267" s="90"/>
      <c r="HC267" s="90"/>
      <c r="HD267" s="90"/>
      <c r="HE267" s="90"/>
      <c r="HF267" s="90"/>
      <c r="HG267" s="90"/>
      <c r="HH267" s="90"/>
      <c r="HI267" s="90"/>
      <c r="HJ267" s="90"/>
      <c r="HK267" s="90"/>
      <c r="HL267" s="90"/>
      <c r="HM267" s="90"/>
      <c r="HN267" s="90"/>
      <c r="HO267" s="90"/>
      <c r="HP267" s="90"/>
      <c r="HQ267" s="90"/>
      <c r="HR267" s="90"/>
      <c r="HS267" s="90"/>
      <c r="HT267" s="90"/>
      <c r="HU267" s="90"/>
      <c r="HV267" s="90"/>
      <c r="HW267" s="90"/>
      <c r="HX267" s="90"/>
      <c r="HY267" s="90"/>
      <c r="HZ267" s="90"/>
      <c r="IA267" s="90"/>
      <c r="IB267" s="90"/>
      <c r="IC267" s="90"/>
      <c r="ID267" s="90"/>
      <c r="IE267" s="90"/>
      <c r="IF267" s="90"/>
      <c r="IG267" s="90"/>
      <c r="IH267" s="90"/>
      <c r="II267" s="90"/>
      <c r="IJ267" s="90"/>
      <c r="IK267" s="90"/>
      <c r="IL267" s="90"/>
      <c r="IM267" s="90"/>
      <c r="IN267" s="90"/>
      <c r="IO267" s="90"/>
      <c r="IP267" s="90"/>
      <c r="IQ267" s="90"/>
      <c r="IR267" s="90"/>
      <c r="IS267" s="90"/>
      <c r="IT267" s="90"/>
    </row>
    <row r="268" spans="1:254" ht="12" customHeight="1" thickBot="1" x14ac:dyDescent="0.25">
      <c r="A268" s="71" t="s">
        <v>31</v>
      </c>
      <c r="B268" s="306"/>
      <c r="C268" s="72">
        <v>6</v>
      </c>
      <c r="D268" s="348" t="str">
        <f>IF(Team3!D28="","",Team3!D28)</f>
        <v>Brooke Mc Clamont</v>
      </c>
      <c r="E268" s="307"/>
      <c r="F268" s="228">
        <v>17.54</v>
      </c>
      <c r="G268" s="229">
        <v>4</v>
      </c>
      <c r="H268" s="233">
        <f t="shared" si="41"/>
        <v>3</v>
      </c>
      <c r="I268" s="302"/>
      <c r="J268" s="298"/>
      <c r="K268" s="302"/>
      <c r="L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  <c r="HA268" s="90"/>
      <c r="HB268" s="90"/>
      <c r="HC268" s="90"/>
      <c r="HD268" s="90"/>
      <c r="HE268" s="90"/>
      <c r="HF268" s="90"/>
      <c r="HG268" s="90"/>
      <c r="HH268" s="90"/>
      <c r="HI268" s="90"/>
      <c r="HJ268" s="90"/>
      <c r="HK268" s="90"/>
      <c r="HL268" s="90"/>
      <c r="HM268" s="90"/>
      <c r="HN268" s="90"/>
      <c r="HO268" s="90"/>
      <c r="HP268" s="90"/>
      <c r="HQ268" s="90"/>
      <c r="HR268" s="90"/>
      <c r="HS268" s="90"/>
      <c r="HT268" s="90"/>
      <c r="HU268" s="90"/>
      <c r="HV268" s="90"/>
      <c r="HW268" s="90"/>
      <c r="HX268" s="90"/>
      <c r="HY268" s="90"/>
      <c r="HZ268" s="90"/>
      <c r="IA268" s="90"/>
      <c r="IB268" s="90"/>
      <c r="IC268" s="90"/>
      <c r="ID268" s="90"/>
      <c r="IE268" s="90"/>
      <c r="IF268" s="90"/>
      <c r="IG268" s="90"/>
      <c r="IH268" s="90"/>
      <c r="II268" s="90"/>
      <c r="IJ268" s="90"/>
      <c r="IK268" s="90"/>
      <c r="IL268" s="90"/>
      <c r="IM268" s="90"/>
      <c r="IN268" s="90"/>
      <c r="IO268" s="90"/>
      <c r="IP268" s="90"/>
      <c r="IQ268" s="90"/>
      <c r="IR268" s="90"/>
      <c r="IS268" s="90"/>
      <c r="IT268" s="90"/>
    </row>
    <row r="269" spans="1:254" ht="12.95" customHeight="1" x14ac:dyDescent="0.2">
      <c r="A269" s="71"/>
      <c r="B269" s="313" t="str">
        <f>Team1!$C$4</f>
        <v>Coleraine</v>
      </c>
      <c r="C269" s="174">
        <v>2</v>
      </c>
      <c r="D269" s="299" t="str">
        <f>IF(Team1!C28="","",Team1!C28)</f>
        <v>Eida Greene</v>
      </c>
      <c r="E269" s="307" t="str">
        <f>IF(Team1!D271="","",Team1!D271)</f>
        <v/>
      </c>
      <c r="F269" s="228">
        <v>17.350000000000001</v>
      </c>
      <c r="G269" s="229">
        <v>5</v>
      </c>
      <c r="H269" s="233">
        <f t="shared" si="41"/>
        <v>2</v>
      </c>
      <c r="I269" s="301"/>
      <c r="J269" s="301"/>
      <c r="K269" s="297">
        <f>IF(SUM(H269:H270)=0,"",SUM(H269:H270))</f>
        <v>6</v>
      </c>
      <c r="L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  <c r="HA269" s="90"/>
      <c r="HB269" s="90"/>
      <c r="HC269" s="90"/>
      <c r="HD269" s="90"/>
      <c r="HE269" s="90"/>
      <c r="HF269" s="90"/>
      <c r="HG269" s="90"/>
      <c r="HH269" s="90"/>
      <c r="HI269" s="90"/>
      <c r="HJ269" s="90"/>
      <c r="HK269" s="90"/>
      <c r="HL269" s="90"/>
      <c r="HM269" s="90"/>
      <c r="HN269" s="90"/>
      <c r="HO269" s="90"/>
      <c r="HP269" s="90"/>
      <c r="HQ269" s="90"/>
      <c r="HR269" s="90"/>
      <c r="HS269" s="90"/>
      <c r="HT269" s="90"/>
      <c r="HU269" s="90"/>
      <c r="HV269" s="90"/>
      <c r="HW269" s="90"/>
      <c r="HX269" s="90"/>
      <c r="HY269" s="90"/>
      <c r="HZ269" s="90"/>
      <c r="IA269" s="90"/>
      <c r="IB269" s="90"/>
      <c r="IC269" s="90"/>
      <c r="ID269" s="90"/>
      <c r="IE269" s="90"/>
      <c r="IF269" s="90"/>
      <c r="IG269" s="90"/>
      <c r="IH269" s="90"/>
      <c r="II269" s="90"/>
      <c r="IJ269" s="90"/>
      <c r="IK269" s="90"/>
      <c r="IL269" s="90"/>
      <c r="IM269" s="90"/>
      <c r="IN269" s="90"/>
      <c r="IO269" s="90"/>
      <c r="IP269" s="90"/>
      <c r="IQ269" s="90"/>
      <c r="IR269" s="90"/>
      <c r="IS269" s="90"/>
      <c r="IT269" s="90"/>
    </row>
    <row r="270" spans="1:254" ht="12.95" customHeight="1" thickBot="1" x14ac:dyDescent="0.25">
      <c r="A270" s="73"/>
      <c r="B270" s="304"/>
      <c r="C270" s="72">
        <v>5</v>
      </c>
      <c r="D270" s="299" t="str">
        <f>IF(Team1!D28="","",Team1!D28)</f>
        <v>Lily Jones</v>
      </c>
      <c r="E270" s="307" t="e">
        <f>IF(Team1!#REF!="","",Team1!#REF!)</f>
        <v>#REF!</v>
      </c>
      <c r="F270" s="228">
        <v>17.7</v>
      </c>
      <c r="G270" s="229">
        <v>3</v>
      </c>
      <c r="H270" s="233">
        <f t="shared" si="41"/>
        <v>4</v>
      </c>
      <c r="I270" s="302"/>
      <c r="J270" s="302"/>
      <c r="K270" s="298"/>
      <c r="L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  <c r="HA270" s="90"/>
      <c r="HB270" s="90"/>
      <c r="HC270" s="90"/>
      <c r="HD270" s="90"/>
      <c r="HE270" s="90"/>
      <c r="HF270" s="90"/>
      <c r="HG270" s="90"/>
      <c r="HH270" s="90"/>
      <c r="HI270" s="90"/>
      <c r="HJ270" s="90"/>
      <c r="HK270" s="90"/>
      <c r="HL270" s="90"/>
      <c r="HM270" s="90"/>
      <c r="HN270" s="90"/>
      <c r="HO270" s="90"/>
      <c r="HP270" s="90"/>
      <c r="HQ270" s="90"/>
      <c r="HR270" s="90"/>
      <c r="HS270" s="90"/>
      <c r="HT270" s="90"/>
      <c r="HU270" s="90"/>
      <c r="HV270" s="90"/>
      <c r="HW270" s="90"/>
      <c r="HX270" s="90"/>
      <c r="HY270" s="90"/>
      <c r="HZ270" s="90"/>
      <c r="IA270" s="90"/>
      <c r="IB270" s="90"/>
      <c r="IC270" s="90"/>
      <c r="ID270" s="90"/>
      <c r="IE270" s="90"/>
      <c r="IF270" s="90"/>
      <c r="IG270" s="90"/>
      <c r="IH270" s="90"/>
      <c r="II270" s="90"/>
      <c r="IJ270" s="90"/>
      <c r="IK270" s="90"/>
      <c r="IL270" s="90"/>
      <c r="IM270" s="90"/>
      <c r="IN270" s="90"/>
      <c r="IO270" s="90"/>
      <c r="IP270" s="90"/>
      <c r="IQ270" s="90"/>
      <c r="IR270" s="90"/>
      <c r="IS270" s="90"/>
      <c r="IT270" s="90"/>
    </row>
    <row r="271" spans="1:254" ht="12" customHeight="1" x14ac:dyDescent="0.2">
      <c r="A271" s="69"/>
      <c r="B271" s="303" t="str">
        <f>Team2!$C$4</f>
        <v>Lisburn</v>
      </c>
      <c r="C271" s="70">
        <v>4</v>
      </c>
      <c r="D271" s="338" t="str">
        <f>IF(Team2!G28="","",Team2!G28)</f>
        <v>Benjamin Bickerstaffe</v>
      </c>
      <c r="E271" s="339"/>
      <c r="F271" s="226">
        <v>14.96</v>
      </c>
      <c r="G271" s="227">
        <v>1</v>
      </c>
      <c r="H271" s="232">
        <f>IF(G271="","",IF(G271=6,1,IF(G271=5,2,IF(G271=4,3,IF(G271=3,4,IF(G271=2,5,6))))))</f>
        <v>6</v>
      </c>
      <c r="I271" s="297">
        <f>IF(SUM(H271:H272)=0,"",SUM(H271:H272))</f>
        <v>9</v>
      </c>
      <c r="J271" s="301"/>
      <c r="K271" s="301"/>
      <c r="L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  <c r="HA271" s="90"/>
      <c r="HB271" s="90"/>
      <c r="HC271" s="90"/>
      <c r="HD271" s="90"/>
      <c r="HE271" s="90"/>
      <c r="HF271" s="90"/>
      <c r="HG271" s="90"/>
      <c r="HH271" s="90"/>
      <c r="HI271" s="90"/>
      <c r="HJ271" s="90"/>
      <c r="HK271" s="90"/>
      <c r="HL271" s="90"/>
      <c r="HM271" s="90"/>
      <c r="HN271" s="90"/>
      <c r="HO271" s="90"/>
      <c r="HP271" s="90"/>
      <c r="HQ271" s="90"/>
      <c r="HR271" s="90"/>
      <c r="HS271" s="90"/>
      <c r="HT271" s="90"/>
      <c r="HU271" s="90"/>
      <c r="HV271" s="90"/>
      <c r="HW271" s="90"/>
      <c r="HX271" s="90"/>
      <c r="HY271" s="90"/>
      <c r="HZ271" s="90"/>
      <c r="IA271" s="90"/>
      <c r="IB271" s="90"/>
      <c r="IC271" s="90"/>
      <c r="ID271" s="90"/>
      <c r="IE271" s="90"/>
      <c r="IF271" s="90"/>
      <c r="IG271" s="90"/>
      <c r="IH271" s="90"/>
      <c r="II271" s="90"/>
      <c r="IJ271" s="90"/>
      <c r="IK271" s="90"/>
      <c r="IL271" s="90"/>
      <c r="IM271" s="90"/>
      <c r="IN271" s="90"/>
      <c r="IO271" s="90"/>
      <c r="IP271" s="90"/>
      <c r="IQ271" s="90"/>
      <c r="IR271" s="90"/>
      <c r="IS271" s="90"/>
      <c r="IT271" s="90"/>
    </row>
    <row r="272" spans="1:254" ht="12" customHeight="1" thickBot="1" x14ac:dyDescent="0.25">
      <c r="A272" s="71">
        <v>34</v>
      </c>
      <c r="B272" s="304"/>
      <c r="C272" s="72">
        <v>1</v>
      </c>
      <c r="D272" s="299" t="str">
        <f>IF(Team2!H28="","",Team2!H28)</f>
        <v>Cillan Hall</v>
      </c>
      <c r="E272" s="307"/>
      <c r="F272" s="228">
        <v>16.75</v>
      </c>
      <c r="G272" s="229">
        <v>4</v>
      </c>
      <c r="H272" s="233">
        <f t="shared" ref="H272:H276" si="42">IF(G272="","",IF(G272=6,1,IF(G272=5,2,IF(G272=4,3,IF(G272=3,4,IF(G272=2,5,6))))))</f>
        <v>3</v>
      </c>
      <c r="I272" s="298"/>
      <c r="J272" s="302"/>
      <c r="K272" s="302"/>
      <c r="L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  <c r="HA272" s="90"/>
      <c r="HB272" s="90"/>
      <c r="HC272" s="90"/>
      <c r="HD272" s="90"/>
      <c r="HE272" s="90"/>
      <c r="HF272" s="90"/>
      <c r="HG272" s="90"/>
      <c r="HH272" s="90"/>
      <c r="HI272" s="90"/>
      <c r="HJ272" s="90"/>
      <c r="HK272" s="90"/>
      <c r="HL272" s="90"/>
      <c r="HM272" s="90"/>
      <c r="HN272" s="90"/>
      <c r="HO272" s="90"/>
      <c r="HP272" s="90"/>
      <c r="HQ272" s="90"/>
      <c r="HR272" s="90"/>
      <c r="HS272" s="90"/>
      <c r="HT272" s="90"/>
      <c r="HU272" s="90"/>
      <c r="HV272" s="90"/>
      <c r="HW272" s="90"/>
      <c r="HX272" s="90"/>
      <c r="HY272" s="90"/>
      <c r="HZ272" s="90"/>
      <c r="IA272" s="90"/>
      <c r="IB272" s="90"/>
      <c r="IC272" s="90"/>
      <c r="ID272" s="90"/>
      <c r="IE272" s="90"/>
      <c r="IF272" s="90"/>
      <c r="IG272" s="90"/>
      <c r="IH272" s="90"/>
      <c r="II272" s="90"/>
      <c r="IJ272" s="90"/>
      <c r="IK272" s="90"/>
      <c r="IL272" s="90"/>
      <c r="IM272" s="90"/>
      <c r="IN272" s="90"/>
      <c r="IO272" s="90"/>
      <c r="IP272" s="90"/>
      <c r="IQ272" s="90"/>
      <c r="IR272" s="90"/>
      <c r="IS272" s="90"/>
      <c r="IT272" s="90"/>
    </row>
    <row r="273" spans="1:254" ht="12.95" customHeight="1" x14ac:dyDescent="0.2">
      <c r="A273" s="71" t="s">
        <v>27</v>
      </c>
      <c r="B273" s="305" t="str">
        <f>Team3!$C$4</f>
        <v>Limavady</v>
      </c>
      <c r="C273" s="72">
        <v>3</v>
      </c>
      <c r="D273" s="348" t="str">
        <f>IF(Team3!G28="","",Team3!G28)</f>
        <v>Cailean Gallagher</v>
      </c>
      <c r="E273" s="307"/>
      <c r="F273" s="228">
        <v>16.68</v>
      </c>
      <c r="G273" s="229">
        <v>5</v>
      </c>
      <c r="H273" s="233">
        <f t="shared" si="42"/>
        <v>2</v>
      </c>
      <c r="I273" s="301"/>
      <c r="J273" s="297">
        <f>IF(SUM(H273:H274)=0,"",SUM(H273:H274))</f>
        <v>3</v>
      </c>
      <c r="K273" s="301"/>
      <c r="L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  <c r="HA273" s="90"/>
      <c r="HB273" s="90"/>
      <c r="HC273" s="90"/>
      <c r="HD273" s="90"/>
      <c r="HE273" s="90"/>
      <c r="HF273" s="90"/>
      <c r="HG273" s="90"/>
      <c r="HH273" s="90"/>
      <c r="HI273" s="90"/>
      <c r="HJ273" s="90"/>
      <c r="HK273" s="90"/>
      <c r="HL273" s="90"/>
      <c r="HM273" s="90"/>
      <c r="HN273" s="90"/>
      <c r="HO273" s="90"/>
      <c r="HP273" s="90"/>
      <c r="HQ273" s="90"/>
      <c r="HR273" s="90"/>
      <c r="HS273" s="90"/>
      <c r="HT273" s="90"/>
      <c r="HU273" s="90"/>
      <c r="HV273" s="90"/>
      <c r="HW273" s="90"/>
      <c r="HX273" s="90"/>
      <c r="HY273" s="90"/>
      <c r="HZ273" s="90"/>
      <c r="IA273" s="90"/>
      <c r="IB273" s="90"/>
      <c r="IC273" s="90"/>
      <c r="ID273" s="90"/>
      <c r="IE273" s="90"/>
      <c r="IF273" s="90"/>
      <c r="IG273" s="90"/>
      <c r="IH273" s="90"/>
      <c r="II273" s="90"/>
      <c r="IJ273" s="90"/>
      <c r="IK273" s="90"/>
      <c r="IL273" s="90"/>
      <c r="IM273" s="90"/>
      <c r="IN273" s="90"/>
      <c r="IO273" s="90"/>
      <c r="IP273" s="90"/>
      <c r="IQ273" s="90"/>
      <c r="IR273" s="90"/>
      <c r="IS273" s="90"/>
      <c r="IT273" s="90"/>
    </row>
    <row r="274" spans="1:254" ht="12.95" customHeight="1" thickBot="1" x14ac:dyDescent="0.25">
      <c r="A274" s="71" t="s">
        <v>32</v>
      </c>
      <c r="B274" s="306"/>
      <c r="C274" s="72">
        <v>6</v>
      </c>
      <c r="D274" s="348" t="str">
        <f>IF(Team3!H28="","",Team3!H28)</f>
        <v>Oliver Smith</v>
      </c>
      <c r="E274" s="307"/>
      <c r="F274" s="228">
        <v>18.47</v>
      </c>
      <c r="G274" s="229">
        <v>6</v>
      </c>
      <c r="H274" s="233">
        <f t="shared" si="42"/>
        <v>1</v>
      </c>
      <c r="I274" s="302"/>
      <c r="J274" s="298"/>
      <c r="K274" s="302"/>
      <c r="L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  <c r="HA274" s="90"/>
      <c r="HB274" s="90"/>
      <c r="HC274" s="90"/>
      <c r="HD274" s="90"/>
      <c r="HE274" s="90"/>
      <c r="HF274" s="90"/>
      <c r="HG274" s="90"/>
      <c r="HH274" s="90"/>
      <c r="HI274" s="90"/>
      <c r="HJ274" s="90"/>
      <c r="HK274" s="90"/>
      <c r="HL274" s="90"/>
      <c r="HM274" s="90"/>
      <c r="HN274" s="90"/>
      <c r="HO274" s="90"/>
      <c r="HP274" s="90"/>
      <c r="HQ274" s="90"/>
      <c r="HR274" s="90"/>
      <c r="HS274" s="90"/>
      <c r="HT274" s="90"/>
      <c r="HU274" s="90"/>
      <c r="HV274" s="90"/>
      <c r="HW274" s="90"/>
      <c r="HX274" s="90"/>
      <c r="HY274" s="90"/>
      <c r="HZ274" s="90"/>
      <c r="IA274" s="90"/>
      <c r="IB274" s="90"/>
      <c r="IC274" s="90"/>
      <c r="ID274" s="90"/>
      <c r="IE274" s="90"/>
      <c r="IF274" s="90"/>
      <c r="IG274" s="90"/>
      <c r="IH274" s="90"/>
      <c r="II274" s="90"/>
      <c r="IJ274" s="90"/>
      <c r="IK274" s="90"/>
      <c r="IL274" s="90"/>
      <c r="IM274" s="90"/>
      <c r="IN274" s="90"/>
      <c r="IO274" s="90"/>
      <c r="IP274" s="90"/>
      <c r="IQ274" s="90"/>
      <c r="IR274" s="90"/>
      <c r="IS274" s="90"/>
      <c r="IT274" s="90"/>
    </row>
    <row r="275" spans="1:254" ht="12" customHeight="1" x14ac:dyDescent="0.2">
      <c r="A275" s="196"/>
      <c r="B275" s="313" t="str">
        <f>Team1!$C$4</f>
        <v>Coleraine</v>
      </c>
      <c r="C275" s="174">
        <v>2</v>
      </c>
      <c r="D275" s="348" t="str">
        <f>IF(Team1!G28="","",Team1!G28)</f>
        <v>Daniel Eakin</v>
      </c>
      <c r="E275" s="349"/>
      <c r="F275" s="228">
        <v>16.34</v>
      </c>
      <c r="G275" s="229">
        <v>3</v>
      </c>
      <c r="H275" s="233">
        <f t="shared" si="42"/>
        <v>4</v>
      </c>
      <c r="I275" s="301"/>
      <c r="J275" s="301"/>
      <c r="K275" s="297">
        <f>IF(SUM(H275:H276)=0,"",SUM(H275:H276))</f>
        <v>9</v>
      </c>
      <c r="L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  <c r="HA275" s="90"/>
      <c r="HB275" s="90"/>
      <c r="HC275" s="90"/>
      <c r="HD275" s="90"/>
      <c r="HE275" s="90"/>
      <c r="HF275" s="90"/>
      <c r="HG275" s="90"/>
      <c r="HH275" s="90"/>
      <c r="HI275" s="90"/>
      <c r="HJ275" s="90"/>
      <c r="HK275" s="90"/>
      <c r="HL275" s="90"/>
      <c r="HM275" s="90"/>
      <c r="HN275" s="90"/>
      <c r="HO275" s="90"/>
      <c r="HP275" s="90"/>
      <c r="HQ275" s="90"/>
      <c r="HR275" s="90"/>
      <c r="HS275" s="90"/>
      <c r="HT275" s="90"/>
      <c r="HU275" s="90"/>
      <c r="HV275" s="90"/>
      <c r="HW275" s="90"/>
      <c r="HX275" s="90"/>
      <c r="HY275" s="90"/>
      <c r="HZ275" s="90"/>
      <c r="IA275" s="90"/>
      <c r="IB275" s="90"/>
      <c r="IC275" s="90"/>
      <c r="ID275" s="90"/>
      <c r="IE275" s="90"/>
      <c r="IF275" s="90"/>
      <c r="IG275" s="90"/>
      <c r="IH275" s="90"/>
      <c r="II275" s="90"/>
      <c r="IJ275" s="90"/>
      <c r="IK275" s="90"/>
      <c r="IL275" s="90"/>
      <c r="IM275" s="90"/>
      <c r="IN275" s="90"/>
      <c r="IO275" s="90"/>
      <c r="IP275" s="90"/>
      <c r="IQ275" s="90"/>
      <c r="IR275" s="90"/>
      <c r="IS275" s="90"/>
      <c r="IT275" s="90"/>
    </row>
    <row r="276" spans="1:254" ht="12" customHeight="1" thickBot="1" x14ac:dyDescent="0.25">
      <c r="A276" s="73"/>
      <c r="B276" s="304"/>
      <c r="C276" s="72">
        <v>5</v>
      </c>
      <c r="D276" s="348" t="str">
        <f>IF(Team1!H28="","",Team1!H28)</f>
        <v>Kioni Little</v>
      </c>
      <c r="E276" s="349"/>
      <c r="F276" s="228">
        <v>16</v>
      </c>
      <c r="G276" s="229">
        <v>2</v>
      </c>
      <c r="H276" s="233">
        <f t="shared" si="42"/>
        <v>5</v>
      </c>
      <c r="I276" s="302"/>
      <c r="J276" s="302"/>
      <c r="K276" s="298"/>
      <c r="L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  <c r="HA276" s="90"/>
      <c r="HB276" s="90"/>
      <c r="HC276" s="90"/>
      <c r="HD276" s="90"/>
      <c r="HE276" s="90"/>
      <c r="HF276" s="90"/>
      <c r="HG276" s="90"/>
      <c r="HH276" s="90"/>
      <c r="HI276" s="90"/>
      <c r="HJ276" s="90"/>
      <c r="HK276" s="90"/>
      <c r="HL276" s="90"/>
      <c r="HM276" s="90"/>
      <c r="HN276" s="90"/>
      <c r="HO276" s="90"/>
      <c r="HP276" s="90"/>
      <c r="HQ276" s="90"/>
      <c r="HR276" s="90"/>
      <c r="HS276" s="90"/>
      <c r="HT276" s="90"/>
      <c r="HU276" s="90"/>
      <c r="HV276" s="90"/>
      <c r="HW276" s="90"/>
      <c r="HX276" s="90"/>
      <c r="HY276" s="90"/>
      <c r="HZ276" s="90"/>
      <c r="IA276" s="90"/>
      <c r="IB276" s="90"/>
      <c r="IC276" s="90"/>
      <c r="ID276" s="90"/>
      <c r="IE276" s="90"/>
      <c r="IF276" s="90"/>
      <c r="IG276" s="90"/>
      <c r="IH276" s="90"/>
      <c r="II276" s="90"/>
      <c r="IJ276" s="90"/>
      <c r="IK276" s="90"/>
      <c r="IL276" s="90"/>
      <c r="IM276" s="90"/>
      <c r="IN276" s="90"/>
      <c r="IO276" s="90"/>
      <c r="IP276" s="90"/>
      <c r="IQ276" s="90"/>
      <c r="IR276" s="90"/>
      <c r="IS276" s="90"/>
      <c r="IT276" s="90"/>
    </row>
    <row r="277" spans="1:254" ht="12" customHeight="1" x14ac:dyDescent="0.2">
      <c r="A277" s="69"/>
      <c r="B277" s="303" t="str">
        <f>Team2!$C$4</f>
        <v>Lisburn</v>
      </c>
      <c r="C277" s="70">
        <v>4</v>
      </c>
      <c r="D277" s="338" t="str">
        <f>IF(Team2!C29="","",Team2!C29)</f>
        <v>Emily Coleman</v>
      </c>
      <c r="E277" s="339"/>
      <c r="F277" s="226">
        <v>14.7</v>
      </c>
      <c r="G277" s="227">
        <v>1</v>
      </c>
      <c r="H277" s="232">
        <f>IF(G277="","",IF(G277=6,1,IF(G277=5,2,IF(G277=4,3,IF(G277=3,4,IF(G277=2,5,6))))))</f>
        <v>6</v>
      </c>
      <c r="I277" s="297">
        <f>IF(SUM(H277:H278)=0,"",SUM(H277:H278))</f>
        <v>11</v>
      </c>
      <c r="J277" s="301"/>
      <c r="K277" s="301"/>
      <c r="L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  <c r="HA277" s="90"/>
      <c r="HB277" s="90"/>
      <c r="HC277" s="90"/>
      <c r="HD277" s="90"/>
      <c r="HE277" s="90"/>
      <c r="HF277" s="90"/>
      <c r="HG277" s="90"/>
      <c r="HH277" s="90"/>
      <c r="HI277" s="90"/>
      <c r="HJ277" s="90"/>
      <c r="HK277" s="90"/>
      <c r="HL277" s="90"/>
      <c r="HM277" s="90"/>
      <c r="HN277" s="90"/>
      <c r="HO277" s="90"/>
      <c r="HP277" s="90"/>
      <c r="HQ277" s="90"/>
      <c r="HR277" s="90"/>
      <c r="HS277" s="90"/>
      <c r="HT277" s="90"/>
      <c r="HU277" s="90"/>
      <c r="HV277" s="90"/>
      <c r="HW277" s="90"/>
      <c r="HX277" s="90"/>
      <c r="HY277" s="90"/>
      <c r="HZ277" s="90"/>
      <c r="IA277" s="90"/>
      <c r="IB277" s="90"/>
      <c r="IC277" s="90"/>
      <c r="ID277" s="90"/>
      <c r="IE277" s="90"/>
      <c r="IF277" s="90"/>
      <c r="IG277" s="90"/>
      <c r="IH277" s="90"/>
      <c r="II277" s="90"/>
      <c r="IJ277" s="90"/>
      <c r="IK277" s="90"/>
      <c r="IL277" s="90"/>
      <c r="IM277" s="90"/>
      <c r="IN277" s="90"/>
      <c r="IO277" s="90"/>
      <c r="IP277" s="90"/>
      <c r="IQ277" s="90"/>
      <c r="IR277" s="90"/>
      <c r="IS277" s="90"/>
      <c r="IT277" s="90"/>
    </row>
    <row r="278" spans="1:254" ht="12" customHeight="1" thickBot="1" x14ac:dyDescent="0.25">
      <c r="A278" s="71">
        <v>35</v>
      </c>
      <c r="B278" s="304"/>
      <c r="C278" s="72">
        <v>1</v>
      </c>
      <c r="D278" s="299" t="str">
        <f>IF(Team2!D29="","",Team2!D29)</f>
        <v xml:space="preserve">Isobel Lamont </v>
      </c>
      <c r="E278" s="307"/>
      <c r="F278" s="228">
        <v>15.38</v>
      </c>
      <c r="G278" s="229">
        <v>2</v>
      </c>
      <c r="H278" s="233">
        <f t="shared" ref="H278:H282" si="43">IF(G278="","",IF(G278=6,1,IF(G278=5,2,IF(G278=4,3,IF(G278=3,4,IF(G278=2,5,6))))))</f>
        <v>5</v>
      </c>
      <c r="I278" s="298"/>
      <c r="J278" s="302"/>
      <c r="K278" s="302"/>
      <c r="L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  <c r="HA278" s="90"/>
      <c r="HB278" s="90"/>
      <c r="HC278" s="90"/>
      <c r="HD278" s="90"/>
      <c r="HE278" s="90"/>
      <c r="HF278" s="90"/>
      <c r="HG278" s="90"/>
      <c r="HH278" s="90"/>
      <c r="HI278" s="90"/>
      <c r="HJ278" s="90"/>
      <c r="HK278" s="90"/>
      <c r="HL278" s="90"/>
      <c r="HM278" s="90"/>
      <c r="HN278" s="90"/>
      <c r="HO278" s="90"/>
      <c r="HP278" s="90"/>
      <c r="HQ278" s="90"/>
      <c r="HR278" s="90"/>
      <c r="HS278" s="90"/>
      <c r="HT278" s="90"/>
      <c r="HU278" s="90"/>
      <c r="HV278" s="90"/>
      <c r="HW278" s="90"/>
      <c r="HX278" s="90"/>
      <c r="HY278" s="90"/>
      <c r="HZ278" s="90"/>
      <c r="IA278" s="90"/>
      <c r="IB278" s="90"/>
      <c r="IC278" s="90"/>
      <c r="ID278" s="90"/>
      <c r="IE278" s="90"/>
      <c r="IF278" s="90"/>
      <c r="IG278" s="90"/>
      <c r="IH278" s="90"/>
      <c r="II278" s="90"/>
      <c r="IJ278" s="90"/>
      <c r="IK278" s="90"/>
      <c r="IL278" s="90"/>
      <c r="IM278" s="90"/>
      <c r="IN278" s="90"/>
      <c r="IO278" s="90"/>
      <c r="IP278" s="90"/>
      <c r="IQ278" s="90"/>
      <c r="IR278" s="90"/>
      <c r="IS278" s="90"/>
      <c r="IT278" s="90"/>
    </row>
    <row r="279" spans="1:254" ht="12.95" customHeight="1" x14ac:dyDescent="0.2">
      <c r="A279" s="71" t="s">
        <v>28</v>
      </c>
      <c r="B279" s="305" t="str">
        <f>Team3!$C$4</f>
        <v>Limavady</v>
      </c>
      <c r="C279" s="72">
        <v>3</v>
      </c>
      <c r="D279" s="299" t="str">
        <f>IF(Team3!C29="","",Team3!C29)</f>
        <v>Abbi Craig</v>
      </c>
      <c r="E279" s="307"/>
      <c r="F279" s="228">
        <v>16.739999999999998</v>
      </c>
      <c r="G279" s="229">
        <v>5</v>
      </c>
      <c r="H279" s="233">
        <f t="shared" si="43"/>
        <v>2</v>
      </c>
      <c r="I279" s="301"/>
      <c r="J279" s="297">
        <f>IF(SUM(H279:H280)=0,"",SUM(H279:H280))</f>
        <v>3</v>
      </c>
      <c r="K279" s="301"/>
      <c r="L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  <c r="HA279" s="90"/>
      <c r="HB279" s="90"/>
      <c r="HC279" s="90"/>
      <c r="HD279" s="90"/>
      <c r="HE279" s="90"/>
      <c r="HF279" s="90"/>
      <c r="HG279" s="90"/>
      <c r="HH279" s="90"/>
      <c r="HI279" s="90"/>
      <c r="HJ279" s="90"/>
      <c r="HK279" s="90"/>
      <c r="HL279" s="90"/>
      <c r="HM279" s="90"/>
      <c r="HN279" s="90"/>
      <c r="HO279" s="90"/>
      <c r="HP279" s="90"/>
      <c r="HQ279" s="90"/>
      <c r="HR279" s="90"/>
      <c r="HS279" s="90"/>
      <c r="HT279" s="90"/>
      <c r="HU279" s="90"/>
      <c r="HV279" s="90"/>
      <c r="HW279" s="90"/>
      <c r="HX279" s="90"/>
      <c r="HY279" s="90"/>
      <c r="HZ279" s="90"/>
      <c r="IA279" s="90"/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</row>
    <row r="280" spans="1:254" ht="12.95" customHeight="1" thickBot="1" x14ac:dyDescent="0.25">
      <c r="A280" s="71" t="s">
        <v>31</v>
      </c>
      <c r="B280" s="306"/>
      <c r="C280" s="72">
        <v>6</v>
      </c>
      <c r="D280" s="299" t="str">
        <f>IF(Team3!D29="","",Team3!D29)</f>
        <v>Emily Butcher</v>
      </c>
      <c r="E280" s="307"/>
      <c r="F280" s="228">
        <v>16.739999999999998</v>
      </c>
      <c r="G280" s="229">
        <v>6</v>
      </c>
      <c r="H280" s="233">
        <f t="shared" si="43"/>
        <v>1</v>
      </c>
      <c r="I280" s="302"/>
      <c r="J280" s="298"/>
      <c r="K280" s="302"/>
      <c r="L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  <c r="HA280" s="90"/>
      <c r="HB280" s="90"/>
      <c r="HC280" s="90"/>
      <c r="HD280" s="90"/>
      <c r="HE280" s="90"/>
      <c r="HF280" s="90"/>
      <c r="HG280" s="90"/>
      <c r="HH280" s="90"/>
      <c r="HI280" s="90"/>
      <c r="HJ280" s="90"/>
      <c r="HK280" s="90"/>
      <c r="HL280" s="90"/>
      <c r="HM280" s="90"/>
      <c r="HN280" s="90"/>
      <c r="HO280" s="90"/>
      <c r="HP280" s="90"/>
      <c r="HQ280" s="90"/>
      <c r="HR280" s="90"/>
      <c r="HS280" s="90"/>
      <c r="HT280" s="90"/>
      <c r="HU280" s="90"/>
      <c r="HV280" s="90"/>
      <c r="HW280" s="90"/>
      <c r="HX280" s="90"/>
      <c r="HY280" s="90"/>
      <c r="HZ280" s="90"/>
      <c r="IA280" s="90"/>
      <c r="IB280" s="90"/>
      <c r="IC280" s="90"/>
      <c r="ID280" s="90"/>
      <c r="IE280" s="90"/>
      <c r="IF280" s="90"/>
      <c r="IG280" s="90"/>
      <c r="IH280" s="90"/>
      <c r="II280" s="90"/>
      <c r="IJ280" s="90"/>
      <c r="IK280" s="90"/>
      <c r="IL280" s="90"/>
      <c r="IM280" s="90"/>
      <c r="IN280" s="90"/>
      <c r="IO280" s="90"/>
      <c r="IP280" s="90"/>
      <c r="IQ280" s="90"/>
      <c r="IR280" s="90"/>
      <c r="IS280" s="90"/>
      <c r="IT280" s="90"/>
    </row>
    <row r="281" spans="1:254" ht="12" customHeight="1" x14ac:dyDescent="0.2">
      <c r="A281" s="196"/>
      <c r="B281" s="313" t="str">
        <f>Team1!$C$4</f>
        <v>Coleraine</v>
      </c>
      <c r="C281" s="174">
        <v>2</v>
      </c>
      <c r="D281" s="299" t="str">
        <f>IF(Team1!C29="","",Team1!C29)</f>
        <v>Emma Price</v>
      </c>
      <c r="E281" s="307"/>
      <c r="F281" s="228">
        <v>16.53</v>
      </c>
      <c r="G281" s="229">
        <v>4</v>
      </c>
      <c r="H281" s="233">
        <f t="shared" si="43"/>
        <v>3</v>
      </c>
      <c r="I281" s="301"/>
      <c r="J281" s="301"/>
      <c r="K281" s="297">
        <f>IF(SUM(H281:H282)=0,"",SUM(H281:H282))</f>
        <v>7</v>
      </c>
      <c r="L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  <c r="HA281" s="90"/>
      <c r="HB281" s="90"/>
      <c r="HC281" s="90"/>
      <c r="HD281" s="90"/>
      <c r="HE281" s="90"/>
      <c r="HF281" s="90"/>
      <c r="HG281" s="90"/>
      <c r="HH281" s="90"/>
      <c r="HI281" s="90"/>
      <c r="HJ281" s="90"/>
      <c r="HK281" s="90"/>
      <c r="HL281" s="90"/>
      <c r="HM281" s="90"/>
      <c r="HN281" s="90"/>
      <c r="HO281" s="90"/>
      <c r="HP281" s="90"/>
      <c r="HQ281" s="90"/>
      <c r="HR281" s="90"/>
      <c r="HS281" s="90"/>
      <c r="HT281" s="90"/>
      <c r="HU281" s="90"/>
      <c r="HV281" s="90"/>
      <c r="HW281" s="90"/>
      <c r="HX281" s="90"/>
      <c r="HY281" s="90"/>
      <c r="HZ281" s="90"/>
      <c r="IA281" s="90"/>
      <c r="IB281" s="90"/>
      <c r="IC281" s="90"/>
      <c r="ID281" s="90"/>
      <c r="IE281" s="90"/>
      <c r="IF281" s="90"/>
      <c r="IG281" s="90"/>
      <c r="IH281" s="90"/>
      <c r="II281" s="90"/>
      <c r="IJ281" s="90"/>
      <c r="IK281" s="90"/>
      <c r="IL281" s="90"/>
      <c r="IM281" s="90"/>
      <c r="IN281" s="90"/>
      <c r="IO281" s="90"/>
      <c r="IP281" s="90"/>
      <c r="IQ281" s="90"/>
      <c r="IR281" s="90"/>
      <c r="IS281" s="90"/>
      <c r="IT281" s="90"/>
    </row>
    <row r="282" spans="1:254" ht="12" customHeight="1" thickBot="1" x14ac:dyDescent="0.25">
      <c r="A282" s="73"/>
      <c r="B282" s="304"/>
      <c r="C282" s="72">
        <v>5</v>
      </c>
      <c r="D282" s="299" t="str">
        <f>IF(Team1!D29="","",Team1!D29)</f>
        <v>Isla McClelland</v>
      </c>
      <c r="E282" s="307"/>
      <c r="F282" s="228">
        <v>15.8</v>
      </c>
      <c r="G282" s="229">
        <v>3</v>
      </c>
      <c r="H282" s="233">
        <f t="shared" si="43"/>
        <v>4</v>
      </c>
      <c r="I282" s="302"/>
      <c r="J282" s="302"/>
      <c r="K282" s="298"/>
      <c r="L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  <c r="HA282" s="90"/>
      <c r="HB282" s="90"/>
      <c r="HC282" s="90"/>
      <c r="HD282" s="90"/>
      <c r="HE282" s="90"/>
      <c r="HF282" s="90"/>
      <c r="HG282" s="90"/>
      <c r="HH282" s="90"/>
      <c r="HI282" s="90"/>
      <c r="HJ282" s="90"/>
      <c r="HK282" s="90"/>
      <c r="HL282" s="90"/>
      <c r="HM282" s="90"/>
      <c r="HN282" s="90"/>
      <c r="HO282" s="90"/>
      <c r="HP282" s="90"/>
      <c r="HQ282" s="90"/>
      <c r="HR282" s="90"/>
      <c r="HS282" s="90"/>
      <c r="HT282" s="90"/>
      <c r="HU282" s="90"/>
      <c r="HV282" s="90"/>
      <c r="HW282" s="90"/>
      <c r="HX282" s="90"/>
      <c r="HY282" s="90"/>
      <c r="HZ282" s="90"/>
      <c r="IA282" s="90"/>
      <c r="IB282" s="90"/>
      <c r="IC282" s="90"/>
      <c r="ID282" s="90"/>
      <c r="IE282" s="90"/>
      <c r="IF282" s="90"/>
      <c r="IG282" s="90"/>
      <c r="IH282" s="90"/>
      <c r="II282" s="90"/>
      <c r="IJ282" s="90"/>
      <c r="IK282" s="90"/>
      <c r="IL282" s="90"/>
      <c r="IM282" s="90"/>
      <c r="IN282" s="90"/>
      <c r="IO282" s="90"/>
      <c r="IP282" s="90"/>
      <c r="IQ282" s="90"/>
      <c r="IR282" s="90"/>
      <c r="IS282" s="90"/>
      <c r="IT282" s="90"/>
    </row>
    <row r="283" spans="1:254" ht="12" customHeight="1" x14ac:dyDescent="0.2">
      <c r="A283" s="69"/>
      <c r="B283" s="303" t="str">
        <f>Team2!$C$4</f>
        <v>Lisburn</v>
      </c>
      <c r="C283" s="70">
        <v>4</v>
      </c>
      <c r="D283" s="338" t="str">
        <f>IF(Team2!G29="","",Team2!G29)</f>
        <v>Alfie Shawe</v>
      </c>
      <c r="E283" s="339"/>
      <c r="F283" s="226">
        <v>14.6</v>
      </c>
      <c r="G283" s="227">
        <v>1</v>
      </c>
      <c r="H283" s="232">
        <f t="shared" ref="H283:H288" si="44">IF(G283="","",IF(G283=6,1,IF(G283=5,2,IF(G283=4,3,IF(G283=3,4,IF(G283=2,5,6))))))</f>
        <v>6</v>
      </c>
      <c r="I283" s="297">
        <f>IF(SUM(H283:H284)=0,"",SUM(H283:H284))</f>
        <v>10</v>
      </c>
      <c r="J283" s="301"/>
      <c r="K283" s="301"/>
      <c r="L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  <c r="HA283" s="90"/>
      <c r="HB283" s="90"/>
      <c r="HC283" s="90"/>
      <c r="HD283" s="90"/>
      <c r="HE283" s="90"/>
      <c r="HF283" s="90"/>
      <c r="HG283" s="90"/>
      <c r="HH283" s="90"/>
      <c r="HI283" s="90"/>
      <c r="HJ283" s="90"/>
      <c r="HK283" s="90"/>
      <c r="HL283" s="90"/>
      <c r="HM283" s="90"/>
      <c r="HN283" s="90"/>
      <c r="HO283" s="90"/>
      <c r="HP283" s="90"/>
      <c r="HQ283" s="90"/>
      <c r="HR283" s="90"/>
      <c r="HS283" s="90"/>
      <c r="HT283" s="90"/>
      <c r="HU283" s="90"/>
      <c r="HV283" s="90"/>
      <c r="HW283" s="90"/>
      <c r="HX283" s="90"/>
      <c r="HY283" s="90"/>
      <c r="HZ283" s="90"/>
      <c r="IA283" s="90"/>
      <c r="IB283" s="90"/>
      <c r="IC283" s="90"/>
      <c r="ID283" s="90"/>
      <c r="IE283" s="90"/>
      <c r="IF283" s="90"/>
      <c r="IG283" s="90"/>
      <c r="IH283" s="90"/>
      <c r="II283" s="90"/>
      <c r="IJ283" s="90"/>
      <c r="IK283" s="90"/>
      <c r="IL283" s="90"/>
      <c r="IM283" s="90"/>
      <c r="IN283" s="90"/>
      <c r="IO283" s="90"/>
      <c r="IP283" s="90"/>
      <c r="IQ283" s="90"/>
      <c r="IR283" s="90"/>
      <c r="IS283" s="90"/>
      <c r="IT283" s="90"/>
    </row>
    <row r="284" spans="1:254" ht="12" customHeight="1" thickBot="1" x14ac:dyDescent="0.25">
      <c r="A284" s="71">
        <v>36</v>
      </c>
      <c r="B284" s="304"/>
      <c r="C284" s="72">
        <v>1</v>
      </c>
      <c r="D284" s="299" t="str">
        <f>IF(Team2!H29="","",Team2!H29)</f>
        <v xml:space="preserve">Tom Keys </v>
      </c>
      <c r="E284" s="307"/>
      <c r="F284" s="228">
        <v>15.37</v>
      </c>
      <c r="G284" s="229">
        <v>3</v>
      </c>
      <c r="H284" s="233">
        <f t="shared" si="44"/>
        <v>4</v>
      </c>
      <c r="I284" s="298"/>
      <c r="J284" s="302"/>
      <c r="K284" s="302"/>
      <c r="L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  <c r="HA284" s="90"/>
      <c r="HB284" s="90"/>
      <c r="HC284" s="90"/>
      <c r="HD284" s="90"/>
      <c r="HE284" s="90"/>
      <c r="HF284" s="90"/>
      <c r="HG284" s="90"/>
      <c r="HH284" s="90"/>
      <c r="HI284" s="90"/>
      <c r="HJ284" s="90"/>
      <c r="HK284" s="90"/>
      <c r="HL284" s="90"/>
      <c r="HM284" s="90"/>
      <c r="HN284" s="90"/>
      <c r="HO284" s="90"/>
      <c r="HP284" s="90"/>
      <c r="HQ284" s="90"/>
      <c r="HR284" s="90"/>
      <c r="HS284" s="90"/>
      <c r="HT284" s="90"/>
      <c r="HU284" s="90"/>
      <c r="HV284" s="90"/>
      <c r="HW284" s="90"/>
      <c r="HX284" s="90"/>
      <c r="HY284" s="90"/>
      <c r="HZ284" s="90"/>
      <c r="IA284" s="90"/>
      <c r="IB284" s="90"/>
      <c r="IC284" s="90"/>
      <c r="ID284" s="90"/>
      <c r="IE284" s="90"/>
      <c r="IF284" s="90"/>
      <c r="IG284" s="90"/>
      <c r="IH284" s="90"/>
      <c r="II284" s="90"/>
      <c r="IJ284" s="90"/>
      <c r="IK284" s="90"/>
      <c r="IL284" s="90"/>
      <c r="IM284" s="90"/>
      <c r="IN284" s="90"/>
      <c r="IO284" s="90"/>
      <c r="IP284" s="90"/>
      <c r="IQ284" s="90"/>
      <c r="IR284" s="90"/>
      <c r="IS284" s="90"/>
      <c r="IT284" s="90"/>
    </row>
    <row r="285" spans="1:254" ht="12.95" customHeight="1" x14ac:dyDescent="0.2">
      <c r="A285" s="71" t="s">
        <v>28</v>
      </c>
      <c r="B285" s="305" t="str">
        <f>Team3!$C$4</f>
        <v>Limavady</v>
      </c>
      <c r="C285" s="72">
        <v>3</v>
      </c>
      <c r="D285" s="299" t="str">
        <f>IF(Team3!G29="","",Team3!G29)</f>
        <v>Ben Dinsmore</v>
      </c>
      <c r="E285" s="307"/>
      <c r="F285" s="228">
        <v>17.04</v>
      </c>
      <c r="G285" s="229">
        <v>4</v>
      </c>
      <c r="H285" s="233">
        <f t="shared" si="44"/>
        <v>3</v>
      </c>
      <c r="I285" s="301"/>
      <c r="J285" s="297">
        <f>IF(SUM(H285:H286)=0,"",SUM(H285:H286))</f>
        <v>4</v>
      </c>
      <c r="K285" s="301"/>
      <c r="L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  <c r="HA285" s="90"/>
      <c r="HB285" s="90"/>
      <c r="HC285" s="90"/>
      <c r="HD285" s="90"/>
      <c r="HE285" s="90"/>
      <c r="HF285" s="90"/>
      <c r="HG285" s="90"/>
      <c r="HH285" s="90"/>
      <c r="HI285" s="90"/>
      <c r="HJ285" s="90"/>
      <c r="HK285" s="90"/>
      <c r="HL285" s="90"/>
      <c r="HM285" s="90"/>
      <c r="HN285" s="90"/>
      <c r="HO285" s="90"/>
      <c r="HP285" s="90"/>
      <c r="HQ285" s="90"/>
      <c r="HR285" s="90"/>
      <c r="HS285" s="90"/>
      <c r="HT285" s="90"/>
      <c r="HU285" s="90"/>
      <c r="HV285" s="90"/>
      <c r="HW285" s="90"/>
      <c r="HX285" s="90"/>
      <c r="HY285" s="90"/>
      <c r="HZ285" s="90"/>
      <c r="IA285" s="90"/>
      <c r="IB285" s="90"/>
      <c r="IC285" s="90"/>
      <c r="ID285" s="90"/>
      <c r="IE285" s="90"/>
      <c r="IF285" s="90"/>
      <c r="IG285" s="90"/>
      <c r="IH285" s="90"/>
      <c r="II285" s="90"/>
      <c r="IJ285" s="90"/>
      <c r="IK285" s="90"/>
      <c r="IL285" s="90"/>
      <c r="IM285" s="90"/>
      <c r="IN285" s="90"/>
      <c r="IO285" s="90"/>
      <c r="IP285" s="90"/>
      <c r="IQ285" s="90"/>
      <c r="IR285" s="90"/>
      <c r="IS285" s="90"/>
      <c r="IT285" s="90"/>
    </row>
    <row r="286" spans="1:254" ht="12.95" customHeight="1" thickBot="1" x14ac:dyDescent="0.25">
      <c r="A286" s="71" t="s">
        <v>32</v>
      </c>
      <c r="B286" s="306"/>
      <c r="C286" s="72">
        <v>6</v>
      </c>
      <c r="D286" s="299" t="str">
        <f>IF(Team3!H29="","",Team3!H29)</f>
        <v>Jude Williams</v>
      </c>
      <c r="E286" s="307"/>
      <c r="F286" s="228">
        <v>18</v>
      </c>
      <c r="G286" s="229">
        <v>6</v>
      </c>
      <c r="H286" s="233">
        <f t="shared" si="44"/>
        <v>1</v>
      </c>
      <c r="I286" s="302"/>
      <c r="J286" s="298"/>
      <c r="K286" s="302"/>
      <c r="L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  <c r="HA286" s="90"/>
      <c r="HB286" s="90"/>
      <c r="HC286" s="90"/>
      <c r="HD286" s="90"/>
      <c r="HE286" s="90"/>
      <c r="HF286" s="90"/>
      <c r="HG286" s="90"/>
      <c r="HH286" s="90"/>
      <c r="HI286" s="90"/>
      <c r="HJ286" s="90"/>
      <c r="HK286" s="90"/>
      <c r="HL286" s="90"/>
      <c r="HM286" s="90"/>
      <c r="HN286" s="90"/>
      <c r="HO286" s="90"/>
      <c r="HP286" s="90"/>
      <c r="HQ286" s="90"/>
      <c r="HR286" s="90"/>
      <c r="HS286" s="90"/>
      <c r="HT286" s="90"/>
      <c r="HU286" s="90"/>
      <c r="HV286" s="90"/>
      <c r="HW286" s="90"/>
      <c r="HX286" s="90"/>
      <c r="HY286" s="90"/>
      <c r="HZ286" s="90"/>
      <c r="IA286" s="90"/>
      <c r="IB286" s="90"/>
      <c r="IC286" s="90"/>
      <c r="ID286" s="90"/>
      <c r="IE286" s="90"/>
      <c r="IF286" s="90"/>
      <c r="IG286" s="90"/>
      <c r="IH286" s="90"/>
      <c r="II286" s="90"/>
      <c r="IJ286" s="90"/>
      <c r="IK286" s="90"/>
      <c r="IL286" s="90"/>
      <c r="IM286" s="90"/>
      <c r="IN286" s="90"/>
      <c r="IO286" s="90"/>
      <c r="IP286" s="90"/>
      <c r="IQ286" s="90"/>
      <c r="IR286" s="90"/>
      <c r="IS286" s="90"/>
      <c r="IT286" s="90"/>
    </row>
    <row r="287" spans="1:254" ht="12" customHeight="1" x14ac:dyDescent="0.2">
      <c r="A287" s="196"/>
      <c r="B287" s="313" t="str">
        <f>Team1!$C$4</f>
        <v>Coleraine</v>
      </c>
      <c r="C287" s="174">
        <v>2</v>
      </c>
      <c r="D287" s="299" t="str">
        <f>IF(Team1!G29="","",Team1!G29)</f>
        <v>Fionnan Duffin</v>
      </c>
      <c r="E287" s="307"/>
      <c r="F287" s="228">
        <v>17.07</v>
      </c>
      <c r="G287" s="229">
        <v>5</v>
      </c>
      <c r="H287" s="233">
        <f t="shared" si="44"/>
        <v>2</v>
      </c>
      <c r="I287" s="301"/>
      <c r="J287" s="301"/>
      <c r="K287" s="297">
        <f>IF(SUM(H287:H288)=0,"",SUM(H287:H288))</f>
        <v>7</v>
      </c>
      <c r="L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</row>
    <row r="288" spans="1:254" ht="12" customHeight="1" thickBot="1" x14ac:dyDescent="0.25">
      <c r="A288" s="73"/>
      <c r="B288" s="304"/>
      <c r="C288" s="72">
        <v>5</v>
      </c>
      <c r="D288" s="299" t="str">
        <f>IF(Team1!H29="","",Team1!H29)</f>
        <v>Isaac Duddy</v>
      </c>
      <c r="E288" s="307"/>
      <c r="F288" s="228">
        <v>15.76</v>
      </c>
      <c r="G288" s="229">
        <v>2</v>
      </c>
      <c r="H288" s="233">
        <f t="shared" si="44"/>
        <v>5</v>
      </c>
      <c r="I288" s="302"/>
      <c r="J288" s="302"/>
      <c r="K288" s="298"/>
      <c r="L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  <c r="HA288" s="90"/>
      <c r="HB288" s="90"/>
      <c r="HC288" s="90"/>
      <c r="HD288" s="90"/>
      <c r="HE288" s="90"/>
      <c r="HF288" s="90"/>
      <c r="HG288" s="90"/>
      <c r="HH288" s="90"/>
      <c r="HI288" s="90"/>
      <c r="HJ288" s="90"/>
      <c r="HK288" s="90"/>
      <c r="HL288" s="90"/>
      <c r="HM288" s="90"/>
      <c r="HN288" s="90"/>
      <c r="HO288" s="90"/>
      <c r="HP288" s="90"/>
      <c r="HQ288" s="90"/>
      <c r="HR288" s="90"/>
      <c r="HS288" s="90"/>
      <c r="HT288" s="90"/>
      <c r="HU288" s="90"/>
      <c r="HV288" s="90"/>
      <c r="HW288" s="90"/>
      <c r="HX288" s="90"/>
      <c r="HY288" s="90"/>
      <c r="HZ288" s="90"/>
      <c r="IA288" s="90"/>
      <c r="IB288" s="90"/>
      <c r="IC288" s="90"/>
      <c r="ID288" s="90"/>
      <c r="IE288" s="90"/>
      <c r="IF288" s="90"/>
      <c r="IG288" s="90"/>
      <c r="IH288" s="90"/>
      <c r="II288" s="90"/>
      <c r="IJ288" s="90"/>
      <c r="IK288" s="90"/>
      <c r="IL288" s="90"/>
      <c r="IM288" s="90"/>
      <c r="IN288" s="90"/>
      <c r="IO288" s="90"/>
      <c r="IP288" s="90"/>
      <c r="IQ288" s="90"/>
      <c r="IR288" s="90"/>
      <c r="IS288" s="90"/>
      <c r="IT288" s="90"/>
    </row>
    <row r="289" spans="1:254" ht="12" customHeight="1" x14ac:dyDescent="0.2">
      <c r="A289" s="74"/>
      <c r="B289" s="183"/>
      <c r="C289" s="27"/>
      <c r="D289" s="75"/>
      <c r="E289" s="75"/>
      <c r="F289" s="27"/>
      <c r="G289" s="76" t="s">
        <v>33</v>
      </c>
      <c r="H289" s="143"/>
      <c r="I289" s="223">
        <f>SUM(I241,I247,I253,I259,I265,I271,I277,I283)</f>
        <v>66</v>
      </c>
      <c r="J289" s="223">
        <f>SUM(J243,J249,J255,J261,J267,J273,J279,J285)</f>
        <v>50</v>
      </c>
      <c r="K289" s="223">
        <f>SUM(K245,K251,K257,K263,K269,K275,K281,K287)</f>
        <v>52</v>
      </c>
      <c r="L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  <c r="HA289" s="90"/>
      <c r="HB289" s="90"/>
      <c r="HC289" s="90"/>
      <c r="HD289" s="90"/>
      <c r="HE289" s="90"/>
      <c r="HF289" s="90"/>
      <c r="HG289" s="90"/>
      <c r="HH289" s="90"/>
      <c r="HI289" s="90"/>
      <c r="HJ289" s="90"/>
      <c r="HK289" s="90"/>
      <c r="HL289" s="90"/>
      <c r="HM289" s="90"/>
      <c r="HN289" s="90"/>
      <c r="HO289" s="90"/>
      <c r="HP289" s="90"/>
      <c r="HQ289" s="90"/>
      <c r="HR289" s="90"/>
      <c r="HS289" s="90"/>
      <c r="HT289" s="90"/>
      <c r="HU289" s="90"/>
      <c r="HV289" s="90"/>
      <c r="HW289" s="90"/>
      <c r="HX289" s="90"/>
      <c r="HY289" s="90"/>
      <c r="HZ289" s="90"/>
      <c r="IA289" s="90"/>
      <c r="IB289" s="90"/>
      <c r="IC289" s="90"/>
      <c r="ID289" s="90"/>
      <c r="IE289" s="90"/>
      <c r="IF289" s="90"/>
      <c r="IG289" s="90"/>
      <c r="IH289" s="90"/>
      <c r="II289" s="90"/>
      <c r="IJ289" s="90"/>
      <c r="IK289" s="90"/>
      <c r="IL289" s="90"/>
      <c r="IM289" s="90"/>
      <c r="IN289" s="90"/>
      <c r="IO289" s="90"/>
      <c r="IP289" s="90"/>
      <c r="IQ289" s="90"/>
      <c r="IR289" s="90"/>
      <c r="IS289" s="90"/>
      <c r="IT289" s="90"/>
    </row>
    <row r="290" spans="1:254" ht="12" customHeight="1" x14ac:dyDescent="0.2">
      <c r="A290" s="77"/>
      <c r="B290" s="45"/>
      <c r="C290" s="30"/>
      <c r="D290" s="31"/>
      <c r="E290" s="31"/>
      <c r="F290" s="30"/>
      <c r="G290" s="78" t="s">
        <v>34</v>
      </c>
      <c r="H290" s="42"/>
      <c r="I290" s="224">
        <f>I236</f>
        <v>218</v>
      </c>
      <c r="J290" s="224">
        <f t="shared" ref="J290:K290" si="45">J236</f>
        <v>172</v>
      </c>
      <c r="K290" s="224">
        <f t="shared" si="45"/>
        <v>198</v>
      </c>
      <c r="L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  <c r="HA290" s="90"/>
      <c r="HB290" s="90"/>
      <c r="HC290" s="90"/>
      <c r="HD290" s="90"/>
      <c r="HE290" s="90"/>
      <c r="HF290" s="90"/>
      <c r="HG290" s="90"/>
      <c r="HH290" s="90"/>
      <c r="HI290" s="90"/>
      <c r="HJ290" s="90"/>
      <c r="HK290" s="90"/>
      <c r="HL290" s="90"/>
      <c r="HM290" s="90"/>
      <c r="HN290" s="90"/>
      <c r="HO290" s="90"/>
      <c r="HP290" s="90"/>
      <c r="HQ290" s="90"/>
      <c r="HR290" s="90"/>
      <c r="HS290" s="90"/>
      <c r="HT290" s="90"/>
      <c r="HU290" s="90"/>
      <c r="HV290" s="90"/>
      <c r="HW290" s="90"/>
      <c r="HX290" s="90"/>
      <c r="HY290" s="90"/>
      <c r="HZ290" s="90"/>
      <c r="IA290" s="90"/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</row>
    <row r="291" spans="1:254" ht="12.95" customHeight="1" thickBot="1" x14ac:dyDescent="0.25">
      <c r="A291" s="79"/>
      <c r="B291" s="184"/>
      <c r="C291" s="80"/>
      <c r="D291" s="81"/>
      <c r="E291" s="81"/>
      <c r="F291" s="80"/>
      <c r="G291" s="82" t="s">
        <v>35</v>
      </c>
      <c r="H291" s="150"/>
      <c r="I291" s="225">
        <f>IF(SUM(I289:I290)=0,"",SUM(I289:I290))</f>
        <v>284</v>
      </c>
      <c r="J291" s="225">
        <f>IF(SUM(J289:J290)=0,"",SUM(J289:J290))</f>
        <v>222</v>
      </c>
      <c r="K291" s="225">
        <f>IF(SUM(K289:K290)=0,"",SUM(K289:K290))</f>
        <v>250</v>
      </c>
      <c r="L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  <c r="HA291" s="90"/>
      <c r="HB291" s="90"/>
      <c r="HC291" s="90"/>
      <c r="HD291" s="90"/>
      <c r="HE291" s="90"/>
      <c r="HF291" s="90"/>
      <c r="HG291" s="90"/>
      <c r="HH291" s="90"/>
      <c r="HI291" s="90"/>
      <c r="HJ291" s="90"/>
      <c r="HK291" s="90"/>
      <c r="HL291" s="90"/>
      <c r="HM291" s="90"/>
      <c r="HN291" s="90"/>
      <c r="HO291" s="90"/>
      <c r="HP291" s="90"/>
      <c r="HQ291" s="90"/>
      <c r="HR291" s="90"/>
      <c r="HS291" s="90"/>
      <c r="HT291" s="90"/>
      <c r="HU291" s="90"/>
      <c r="HV291" s="90"/>
      <c r="HW291" s="90"/>
      <c r="HX291" s="90"/>
      <c r="HY291" s="90"/>
      <c r="HZ291" s="90"/>
      <c r="IA291" s="90"/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</row>
    <row r="292" spans="1:254" ht="10.5" customHeight="1" x14ac:dyDescent="0.2">
      <c r="A292" s="45"/>
      <c r="B292" s="177"/>
      <c r="C292" s="28"/>
      <c r="D292" s="28"/>
      <c r="E292" s="28"/>
      <c r="F292" s="28"/>
      <c r="G292" s="45"/>
      <c r="H292" s="45"/>
      <c r="I292" s="186"/>
      <c r="J292" s="186"/>
      <c r="K292" s="186"/>
      <c r="L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  <c r="HA292" s="90"/>
      <c r="HB292" s="90"/>
      <c r="HC292" s="90"/>
      <c r="HD292" s="90"/>
      <c r="HE292" s="90"/>
      <c r="HF292" s="90"/>
      <c r="HG292" s="90"/>
      <c r="HH292" s="90"/>
      <c r="HI292" s="90"/>
      <c r="HJ292" s="90"/>
      <c r="HK292" s="90"/>
      <c r="HL292" s="90"/>
      <c r="HM292" s="90"/>
      <c r="HN292" s="90"/>
      <c r="HO292" s="90"/>
      <c r="HP292" s="90"/>
      <c r="HQ292" s="90"/>
      <c r="HR292" s="90"/>
      <c r="HS292" s="90"/>
      <c r="HT292" s="90"/>
      <c r="HU292" s="90"/>
      <c r="HV292" s="90"/>
      <c r="HW292" s="90"/>
      <c r="HX292" s="90"/>
      <c r="HY292" s="90"/>
      <c r="HZ292" s="90"/>
      <c r="IA292" s="90"/>
      <c r="IB292" s="90"/>
      <c r="IC292" s="90"/>
      <c r="ID292" s="90"/>
      <c r="IE292" s="90"/>
      <c r="IF292" s="90"/>
      <c r="IG292" s="90"/>
      <c r="IH292" s="90"/>
      <c r="II292" s="90"/>
      <c r="IJ292" s="90"/>
      <c r="IK292" s="90"/>
      <c r="IL292" s="90"/>
      <c r="IM292" s="90"/>
      <c r="IN292" s="90"/>
      <c r="IO292" s="90"/>
      <c r="IP292" s="90"/>
      <c r="IQ292" s="90"/>
      <c r="IR292" s="90"/>
      <c r="IS292" s="90"/>
      <c r="IT292" s="90"/>
    </row>
    <row r="293" spans="1:254" ht="15.75" x14ac:dyDescent="0.25">
      <c r="A293" s="336" t="s">
        <v>39</v>
      </c>
      <c r="B293" s="337"/>
      <c r="C293" s="337"/>
      <c r="D293" s="337"/>
      <c r="E293" s="337"/>
      <c r="F293" s="337"/>
      <c r="G293" s="337"/>
      <c r="H293" s="337"/>
      <c r="I293" s="337"/>
      <c r="J293" s="337"/>
      <c r="K293" s="337"/>
      <c r="L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  <c r="HA293" s="90"/>
      <c r="HB293" s="90"/>
      <c r="HC293" s="90"/>
      <c r="HD293" s="90"/>
      <c r="HE293" s="90"/>
      <c r="HF293" s="90"/>
      <c r="HG293" s="90"/>
      <c r="HH293" s="90"/>
      <c r="HI293" s="90"/>
      <c r="HJ293" s="90"/>
      <c r="HK293" s="90"/>
      <c r="HL293" s="90"/>
      <c r="HM293" s="90"/>
      <c r="HN293" s="90"/>
      <c r="HO293" s="90"/>
      <c r="HP293" s="90"/>
      <c r="HQ293" s="90"/>
      <c r="HR293" s="90"/>
      <c r="HS293" s="90"/>
      <c r="HT293" s="90"/>
      <c r="HU293" s="90"/>
      <c r="HV293" s="90"/>
      <c r="HW293" s="90"/>
      <c r="HX293" s="90"/>
      <c r="HY293" s="90"/>
      <c r="HZ293" s="90"/>
      <c r="IA293" s="90"/>
      <c r="IB293" s="90"/>
      <c r="IC293" s="90"/>
      <c r="ID293" s="90"/>
      <c r="IE293" s="90"/>
      <c r="IF293" s="90"/>
      <c r="IG293" s="90"/>
      <c r="IH293" s="90"/>
      <c r="II293" s="90"/>
      <c r="IJ293" s="90"/>
      <c r="IK293" s="90"/>
      <c r="IL293" s="90"/>
      <c r="IM293" s="90"/>
      <c r="IN293" s="90"/>
      <c r="IO293" s="90"/>
      <c r="IP293" s="90"/>
      <c r="IQ293" s="90"/>
      <c r="IR293" s="90"/>
      <c r="IS293" s="90"/>
      <c r="IT293" s="90"/>
    </row>
    <row r="294" spans="1:254" ht="10.5" customHeight="1" thickBot="1" x14ac:dyDescent="0.3">
      <c r="A294" s="46"/>
      <c r="B294" s="180"/>
      <c r="C294" s="47"/>
      <c r="D294" s="48"/>
      <c r="E294" s="47"/>
      <c r="F294" s="46"/>
      <c r="G294" s="46"/>
      <c r="H294" s="46"/>
      <c r="I294" s="213"/>
      <c r="J294" s="213"/>
      <c r="K294" s="213"/>
      <c r="L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  <c r="HA294" s="90"/>
      <c r="HB294" s="90"/>
      <c r="HC294" s="90"/>
      <c r="HD294" s="90"/>
      <c r="HE294" s="90"/>
      <c r="HF294" s="90"/>
      <c r="HG294" s="90"/>
      <c r="HH294" s="90"/>
      <c r="HI294" s="90"/>
      <c r="HJ294" s="90"/>
      <c r="HK294" s="90"/>
      <c r="HL294" s="90"/>
      <c r="HM294" s="90"/>
      <c r="HN294" s="90"/>
      <c r="HO294" s="90"/>
      <c r="HP294" s="90"/>
      <c r="HQ294" s="90"/>
      <c r="HR294" s="90"/>
      <c r="HS294" s="90"/>
      <c r="HT294" s="90"/>
      <c r="HU294" s="90"/>
      <c r="HV294" s="90"/>
      <c r="HW294" s="90"/>
      <c r="HX294" s="90"/>
      <c r="HY294" s="90"/>
      <c r="HZ294" s="90"/>
      <c r="IA294" s="90"/>
      <c r="IB294" s="90"/>
      <c r="IC294" s="90"/>
      <c r="ID294" s="90"/>
      <c r="IE294" s="90"/>
      <c r="IF294" s="90"/>
      <c r="IG294" s="90"/>
      <c r="IH294" s="90"/>
      <c r="II294" s="90"/>
      <c r="IJ294" s="90"/>
      <c r="IK294" s="90"/>
      <c r="IL294" s="90"/>
      <c r="IM294" s="90"/>
      <c r="IN294" s="90"/>
      <c r="IO294" s="90"/>
      <c r="IP294" s="90"/>
      <c r="IQ294" s="90"/>
      <c r="IR294" s="90"/>
      <c r="IS294" s="90"/>
      <c r="IT294" s="90"/>
    </row>
    <row r="295" spans="1:254" ht="15.75" x14ac:dyDescent="0.25">
      <c r="A295" s="49" t="s">
        <v>1</v>
      </c>
      <c r="B295" s="50" t="s">
        <v>20</v>
      </c>
      <c r="C295" s="50" t="s">
        <v>21</v>
      </c>
      <c r="D295" s="355" t="s">
        <v>22</v>
      </c>
      <c r="E295" s="356"/>
      <c r="F295" s="49" t="s">
        <v>23</v>
      </c>
      <c r="G295" s="50" t="s">
        <v>24</v>
      </c>
      <c r="H295" s="160" t="s">
        <v>16</v>
      </c>
      <c r="I295" s="352" t="s">
        <v>16</v>
      </c>
      <c r="J295" s="353"/>
      <c r="K295" s="354"/>
      <c r="L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  <c r="HA295" s="90"/>
      <c r="HB295" s="90"/>
      <c r="HC295" s="90"/>
      <c r="HD295" s="90"/>
      <c r="HE295" s="90"/>
      <c r="HF295" s="90"/>
      <c r="HG295" s="90"/>
      <c r="HH295" s="90"/>
      <c r="HI295" s="90"/>
      <c r="HJ295" s="90"/>
      <c r="HK295" s="90"/>
      <c r="HL295" s="90"/>
      <c r="HM295" s="90"/>
      <c r="HN295" s="90"/>
      <c r="HO295" s="90"/>
      <c r="HP295" s="90"/>
      <c r="HQ295" s="90"/>
      <c r="HR295" s="90"/>
      <c r="HS295" s="90"/>
      <c r="HT295" s="90"/>
      <c r="HU295" s="90"/>
      <c r="HV295" s="90"/>
      <c r="HW295" s="90"/>
      <c r="HX295" s="90"/>
      <c r="HY295" s="90"/>
      <c r="HZ295" s="90"/>
      <c r="IA295" s="90"/>
      <c r="IB295" s="90"/>
      <c r="IC295" s="90"/>
      <c r="ID295" s="90"/>
      <c r="IE295" s="90"/>
      <c r="IF295" s="90"/>
      <c r="IG295" s="90"/>
      <c r="IH295" s="90"/>
      <c r="II295" s="90"/>
      <c r="IJ295" s="90"/>
      <c r="IK295" s="90"/>
      <c r="IL295" s="90"/>
      <c r="IM295" s="90"/>
      <c r="IN295" s="90"/>
      <c r="IO295" s="90"/>
      <c r="IP295" s="90"/>
      <c r="IQ295" s="90"/>
      <c r="IR295" s="90"/>
      <c r="IS295" s="90"/>
      <c r="IT295" s="90"/>
    </row>
    <row r="296" spans="1:254" ht="16.5" thickBot="1" x14ac:dyDescent="0.3">
      <c r="A296" s="51"/>
      <c r="B296" s="95"/>
      <c r="C296" s="52"/>
      <c r="D296" s="53"/>
      <c r="E296" s="54"/>
      <c r="F296" s="55"/>
      <c r="G296" s="52"/>
      <c r="H296" s="56"/>
      <c r="I296" s="214"/>
      <c r="J296" s="213"/>
      <c r="K296" s="215"/>
      <c r="L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  <c r="HA296" s="90"/>
      <c r="HB296" s="90"/>
      <c r="HC296" s="90"/>
      <c r="HD296" s="90"/>
      <c r="HE296" s="90"/>
      <c r="HF296" s="90"/>
      <c r="HG296" s="90"/>
      <c r="HH296" s="90"/>
      <c r="HI296" s="90"/>
      <c r="HJ296" s="90"/>
      <c r="HK296" s="90"/>
      <c r="HL296" s="90"/>
      <c r="HM296" s="90"/>
      <c r="HN296" s="90"/>
      <c r="HO296" s="90"/>
      <c r="HP296" s="90"/>
      <c r="HQ296" s="90"/>
      <c r="HR296" s="90"/>
      <c r="HS296" s="90"/>
      <c r="HT296" s="90"/>
      <c r="HU296" s="90"/>
      <c r="HV296" s="90"/>
      <c r="HW296" s="90"/>
      <c r="HX296" s="90"/>
      <c r="HY296" s="90"/>
      <c r="HZ296" s="90"/>
      <c r="IA296" s="90"/>
      <c r="IB296" s="90"/>
      <c r="IC296" s="90"/>
      <c r="ID296" s="90"/>
      <c r="IE296" s="90"/>
      <c r="IF296" s="90"/>
      <c r="IG296" s="90"/>
      <c r="IH296" s="90"/>
      <c r="II296" s="90"/>
      <c r="IJ296" s="90"/>
      <c r="IK296" s="90"/>
      <c r="IL296" s="90"/>
      <c r="IM296" s="90"/>
      <c r="IN296" s="90"/>
      <c r="IO296" s="90"/>
      <c r="IP296" s="90"/>
      <c r="IQ296" s="90"/>
      <c r="IR296" s="90"/>
      <c r="IS296" s="90"/>
      <c r="IT296" s="90"/>
    </row>
    <row r="297" spans="1:254" ht="15.75" x14ac:dyDescent="0.25">
      <c r="A297" s="49"/>
      <c r="B297" s="266" t="str">
        <f>Team2!$C$4</f>
        <v>Lisburn</v>
      </c>
      <c r="C297" s="314">
        <v>4</v>
      </c>
      <c r="D297" s="334" t="str">
        <f>IF(Team2!C30="","",Team2!C30)</f>
        <v>Ross Gray</v>
      </c>
      <c r="E297" s="335"/>
      <c r="F297" s="285" t="s">
        <v>298</v>
      </c>
      <c r="G297" s="321">
        <v>1</v>
      </c>
      <c r="H297" s="332">
        <f>IF(G297="","",IF(G297=1,11, IF(G297=2,7,3)))</f>
        <v>11</v>
      </c>
      <c r="I297" s="329">
        <f>H297</f>
        <v>11</v>
      </c>
      <c r="J297" s="317"/>
      <c r="K297" s="327"/>
      <c r="L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  <c r="HA297" s="90"/>
      <c r="HB297" s="90"/>
      <c r="HC297" s="90"/>
      <c r="HD297" s="90"/>
      <c r="HE297" s="90"/>
      <c r="HF297" s="90"/>
      <c r="HG297" s="90"/>
      <c r="HH297" s="90"/>
      <c r="HI297" s="90"/>
      <c r="HJ297" s="90"/>
      <c r="HK297" s="90"/>
      <c r="HL297" s="90"/>
      <c r="HM297" s="90"/>
      <c r="HN297" s="90"/>
      <c r="HO297" s="90"/>
      <c r="HP297" s="90"/>
      <c r="HQ297" s="90"/>
      <c r="HR297" s="90"/>
      <c r="HS297" s="90"/>
      <c r="HT297" s="90"/>
      <c r="HU297" s="90"/>
      <c r="HV297" s="90"/>
      <c r="HW297" s="90"/>
      <c r="HX297" s="90"/>
      <c r="HY297" s="90"/>
      <c r="HZ297" s="90"/>
      <c r="IA297" s="90"/>
      <c r="IB297" s="90"/>
      <c r="IC297" s="90"/>
      <c r="ID297" s="90"/>
      <c r="IE297" s="90"/>
      <c r="IF297" s="90"/>
      <c r="IG297" s="90"/>
      <c r="IH297" s="90"/>
      <c r="II297" s="90"/>
      <c r="IJ297" s="90"/>
      <c r="IK297" s="90"/>
      <c r="IL297" s="90"/>
      <c r="IM297" s="90"/>
      <c r="IN297" s="90"/>
      <c r="IO297" s="90"/>
      <c r="IP297" s="90"/>
      <c r="IQ297" s="90"/>
      <c r="IR297" s="90"/>
      <c r="IS297" s="90"/>
      <c r="IT297" s="90"/>
    </row>
    <row r="298" spans="1:254" ht="15.75" x14ac:dyDescent="0.25">
      <c r="A298" s="57"/>
      <c r="B298" s="267"/>
      <c r="C298" s="357"/>
      <c r="D298" s="283" t="str">
        <f>IF(Team2!C31="","",Team2!C31)</f>
        <v>Erin Lowry</v>
      </c>
      <c r="E298" s="284"/>
      <c r="F298" s="286"/>
      <c r="G298" s="274"/>
      <c r="H298" s="276"/>
      <c r="I298" s="330"/>
      <c r="J298" s="270"/>
      <c r="K298" s="328"/>
      <c r="L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  <c r="HA298" s="90"/>
      <c r="HB298" s="90"/>
      <c r="HC298" s="90"/>
      <c r="HD298" s="90"/>
      <c r="HE298" s="90"/>
      <c r="HF298" s="90"/>
      <c r="HG298" s="90"/>
      <c r="HH298" s="90"/>
      <c r="HI298" s="90"/>
      <c r="HJ298" s="90"/>
      <c r="HK298" s="90"/>
      <c r="HL298" s="90"/>
      <c r="HM298" s="90"/>
      <c r="HN298" s="90"/>
      <c r="HO298" s="90"/>
      <c r="HP298" s="90"/>
      <c r="HQ298" s="90"/>
      <c r="HR298" s="90"/>
      <c r="HS298" s="90"/>
      <c r="HT298" s="90"/>
      <c r="HU298" s="90"/>
      <c r="HV298" s="90"/>
      <c r="HW298" s="90"/>
      <c r="HX298" s="90"/>
      <c r="HY298" s="90"/>
      <c r="HZ298" s="90"/>
      <c r="IA298" s="90"/>
      <c r="IB298" s="90"/>
      <c r="IC298" s="90"/>
      <c r="ID298" s="90"/>
      <c r="IE298" s="90"/>
      <c r="IF298" s="90"/>
      <c r="IG298" s="90"/>
      <c r="IH298" s="90"/>
      <c r="II298" s="90"/>
      <c r="IJ298" s="90"/>
      <c r="IK298" s="90"/>
      <c r="IL298" s="90"/>
      <c r="IM298" s="90"/>
      <c r="IN298" s="90"/>
      <c r="IO298" s="90"/>
      <c r="IP298" s="90"/>
      <c r="IQ298" s="90"/>
      <c r="IR298" s="90"/>
      <c r="IS298" s="90"/>
      <c r="IT298" s="90"/>
    </row>
    <row r="299" spans="1:254" ht="15.75" x14ac:dyDescent="0.25">
      <c r="A299" s="57"/>
      <c r="B299" s="267"/>
      <c r="C299" s="357"/>
      <c r="D299" s="283" t="str">
        <f>IF(Team2!C32="","",Team2!C32)</f>
        <v xml:space="preserve">Amelia Stone </v>
      </c>
      <c r="E299" s="284"/>
      <c r="F299" s="286"/>
      <c r="G299" s="274"/>
      <c r="H299" s="276"/>
      <c r="I299" s="330"/>
      <c r="J299" s="270"/>
      <c r="K299" s="328"/>
      <c r="L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  <c r="HA299" s="90"/>
      <c r="HB299" s="90"/>
      <c r="HC299" s="90"/>
      <c r="HD299" s="90"/>
      <c r="HE299" s="90"/>
      <c r="HF299" s="90"/>
      <c r="HG299" s="90"/>
      <c r="HH299" s="90"/>
      <c r="HI299" s="90"/>
      <c r="HJ299" s="90"/>
      <c r="HK299" s="90"/>
      <c r="HL299" s="90"/>
      <c r="HM299" s="90"/>
      <c r="HN299" s="90"/>
      <c r="HO299" s="90"/>
      <c r="HP299" s="90"/>
      <c r="HQ299" s="90"/>
      <c r="HR299" s="90"/>
      <c r="HS299" s="90"/>
      <c r="HT299" s="90"/>
      <c r="HU299" s="90"/>
      <c r="HV299" s="90"/>
      <c r="HW299" s="90"/>
      <c r="HX299" s="90"/>
      <c r="HY299" s="90"/>
      <c r="HZ299" s="90"/>
      <c r="IA299" s="90"/>
      <c r="IB299" s="90"/>
      <c r="IC299" s="90"/>
      <c r="ID299" s="90"/>
      <c r="IE299" s="90"/>
      <c r="IF299" s="90"/>
      <c r="IG299" s="90"/>
      <c r="IH299" s="90"/>
      <c r="II299" s="90"/>
      <c r="IJ299" s="90"/>
      <c r="IK299" s="90"/>
      <c r="IL299" s="90"/>
      <c r="IM299" s="90"/>
      <c r="IN299" s="90"/>
      <c r="IO299" s="90"/>
      <c r="IP299" s="90"/>
      <c r="IQ299" s="90"/>
      <c r="IR299" s="90"/>
      <c r="IS299" s="90"/>
      <c r="IT299" s="90"/>
    </row>
    <row r="300" spans="1:254" ht="15" customHeight="1" x14ac:dyDescent="0.2">
      <c r="A300" s="196"/>
      <c r="B300" s="267"/>
      <c r="C300" s="357"/>
      <c r="D300" s="283" t="str">
        <f>IF(Team2!C33="","",Team2!C33)</f>
        <v>Harry McGlashen</v>
      </c>
      <c r="E300" s="284"/>
      <c r="F300" s="287"/>
      <c r="G300" s="275"/>
      <c r="H300" s="333"/>
      <c r="I300" s="331"/>
      <c r="J300" s="318"/>
      <c r="K300" s="328"/>
      <c r="L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  <c r="HA300" s="90"/>
      <c r="HB300" s="90"/>
      <c r="HC300" s="90"/>
      <c r="HD300" s="90"/>
      <c r="HE300" s="90"/>
      <c r="HF300" s="90"/>
      <c r="HG300" s="90"/>
      <c r="HH300" s="90"/>
      <c r="HI300" s="90"/>
      <c r="HJ300" s="90"/>
      <c r="HK300" s="90"/>
      <c r="HL300" s="90"/>
      <c r="HM300" s="90"/>
      <c r="HN300" s="90"/>
      <c r="HO300" s="90"/>
      <c r="HP300" s="90"/>
      <c r="HQ300" s="90"/>
      <c r="HR300" s="90"/>
      <c r="HS300" s="90"/>
      <c r="HT300" s="90"/>
      <c r="HU300" s="90"/>
      <c r="HV300" s="90"/>
      <c r="HW300" s="90"/>
      <c r="HX300" s="90"/>
      <c r="HY300" s="90"/>
      <c r="HZ300" s="90"/>
      <c r="IA300" s="90"/>
      <c r="IB300" s="90"/>
      <c r="IC300" s="90"/>
      <c r="ID300" s="90"/>
      <c r="IE300" s="90"/>
      <c r="IF300" s="90"/>
      <c r="IG300" s="90"/>
      <c r="IH300" s="90"/>
      <c r="II300" s="90"/>
      <c r="IJ300" s="90"/>
      <c r="IK300" s="90"/>
      <c r="IL300" s="90"/>
      <c r="IM300" s="90"/>
      <c r="IN300" s="90"/>
      <c r="IO300" s="90"/>
      <c r="IP300" s="90"/>
      <c r="IQ300" s="90"/>
      <c r="IR300" s="90"/>
      <c r="IS300" s="90"/>
      <c r="IT300" s="90"/>
    </row>
    <row r="301" spans="1:254" ht="15.75" x14ac:dyDescent="0.25">
      <c r="A301" s="58">
        <v>37</v>
      </c>
      <c r="B301" s="358" t="str">
        <f>Team3!$C$4</f>
        <v>Limavady</v>
      </c>
      <c r="C301" s="357">
        <v>3</v>
      </c>
      <c r="D301" s="283" t="str">
        <f>IF(Team3!C30="","",Team3!C30)</f>
        <v>Myia Mc Clamont</v>
      </c>
      <c r="E301" s="284"/>
      <c r="F301" s="289" t="s">
        <v>299</v>
      </c>
      <c r="G301" s="273">
        <v>2</v>
      </c>
      <c r="H301" s="276">
        <f t="shared" ref="H301" si="46">IF(G301="","",IF(G301=1,11, IF(G301=2,7,3)))</f>
        <v>7</v>
      </c>
      <c r="I301" s="277"/>
      <c r="J301" s="280">
        <f>H301</f>
        <v>7</v>
      </c>
      <c r="K301" s="322"/>
      <c r="L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  <c r="HA301" s="90"/>
      <c r="HB301" s="90"/>
      <c r="HC301" s="90"/>
      <c r="HD301" s="90"/>
      <c r="HE301" s="90"/>
      <c r="HF301" s="90"/>
      <c r="HG301" s="90"/>
      <c r="HH301" s="90"/>
      <c r="HI301" s="90"/>
      <c r="HJ301" s="90"/>
      <c r="HK301" s="90"/>
      <c r="HL301" s="90"/>
      <c r="HM301" s="90"/>
      <c r="HN301" s="90"/>
      <c r="HO301" s="90"/>
      <c r="HP301" s="90"/>
      <c r="HQ301" s="90"/>
      <c r="HR301" s="90"/>
      <c r="HS301" s="90"/>
      <c r="HT301" s="90"/>
      <c r="HU301" s="90"/>
      <c r="HV301" s="90"/>
      <c r="HW301" s="90"/>
      <c r="HX301" s="90"/>
      <c r="HY301" s="90"/>
      <c r="HZ301" s="90"/>
      <c r="IA301" s="90"/>
      <c r="IB301" s="90"/>
      <c r="IC301" s="90"/>
      <c r="ID301" s="90"/>
      <c r="IE301" s="90"/>
      <c r="IF301" s="90"/>
      <c r="IG301" s="90"/>
      <c r="IH301" s="90"/>
      <c r="II301" s="90"/>
      <c r="IJ301" s="90"/>
      <c r="IK301" s="90"/>
      <c r="IL301" s="90"/>
      <c r="IM301" s="90"/>
      <c r="IN301" s="90"/>
      <c r="IO301" s="90"/>
      <c r="IP301" s="90"/>
      <c r="IQ301" s="90"/>
      <c r="IR301" s="90"/>
      <c r="IS301" s="90"/>
      <c r="IT301" s="90"/>
    </row>
    <row r="302" spans="1:254" ht="15.75" x14ac:dyDescent="0.25">
      <c r="A302" s="58"/>
      <c r="B302" s="267"/>
      <c r="C302" s="357"/>
      <c r="D302" s="283" t="str">
        <f>IF(Team3!C31="","",Team3!C31)</f>
        <v>Eoin Mc Alinden</v>
      </c>
      <c r="E302" s="284"/>
      <c r="F302" s="286"/>
      <c r="G302" s="274"/>
      <c r="H302" s="276"/>
      <c r="I302" s="278"/>
      <c r="J302" s="281"/>
      <c r="K302" s="323"/>
      <c r="L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  <c r="HA302" s="90"/>
      <c r="HB302" s="90"/>
      <c r="HC302" s="90"/>
      <c r="HD302" s="90"/>
      <c r="HE302" s="90"/>
      <c r="HF302" s="90"/>
      <c r="HG302" s="90"/>
      <c r="HH302" s="90"/>
      <c r="HI302" s="90"/>
      <c r="HJ302" s="90"/>
      <c r="HK302" s="90"/>
      <c r="HL302" s="90"/>
      <c r="HM302" s="90"/>
      <c r="HN302" s="90"/>
      <c r="HO302" s="90"/>
      <c r="HP302" s="90"/>
      <c r="HQ302" s="90"/>
      <c r="HR302" s="90"/>
      <c r="HS302" s="90"/>
      <c r="HT302" s="90"/>
      <c r="HU302" s="90"/>
      <c r="HV302" s="90"/>
      <c r="HW302" s="90"/>
      <c r="HX302" s="90"/>
      <c r="HY302" s="90"/>
      <c r="HZ302" s="90"/>
      <c r="IA302" s="90"/>
      <c r="IB302" s="90"/>
      <c r="IC302" s="90"/>
      <c r="ID302" s="90"/>
      <c r="IE302" s="90"/>
      <c r="IF302" s="90"/>
      <c r="IG302" s="90"/>
      <c r="IH302" s="90"/>
      <c r="II302" s="90"/>
      <c r="IJ302" s="90"/>
      <c r="IK302" s="90"/>
      <c r="IL302" s="90"/>
      <c r="IM302" s="90"/>
      <c r="IN302" s="90"/>
      <c r="IO302" s="90"/>
      <c r="IP302" s="90"/>
      <c r="IQ302" s="90"/>
      <c r="IR302" s="90"/>
      <c r="IS302" s="90"/>
      <c r="IT302" s="90"/>
    </row>
    <row r="303" spans="1:254" ht="15.75" x14ac:dyDescent="0.25">
      <c r="A303" s="58" t="s">
        <v>25</v>
      </c>
      <c r="B303" s="267"/>
      <c r="C303" s="357"/>
      <c r="D303" s="283" t="str">
        <f>IF(Team3!C32="","",Team3!C32)</f>
        <v>Fiona O Neill</v>
      </c>
      <c r="E303" s="284"/>
      <c r="F303" s="286"/>
      <c r="G303" s="274"/>
      <c r="H303" s="276"/>
      <c r="I303" s="278"/>
      <c r="J303" s="281"/>
      <c r="K303" s="323"/>
      <c r="L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  <c r="HA303" s="90"/>
      <c r="HB303" s="90"/>
      <c r="HC303" s="90"/>
      <c r="HD303" s="90"/>
      <c r="HE303" s="90"/>
      <c r="HF303" s="90"/>
      <c r="HG303" s="90"/>
      <c r="HH303" s="90"/>
      <c r="HI303" s="90"/>
      <c r="HJ303" s="90"/>
      <c r="HK303" s="90"/>
      <c r="HL303" s="90"/>
      <c r="HM303" s="90"/>
      <c r="HN303" s="90"/>
      <c r="HO303" s="90"/>
      <c r="HP303" s="90"/>
      <c r="HQ303" s="90"/>
      <c r="HR303" s="90"/>
      <c r="HS303" s="90"/>
      <c r="HT303" s="90"/>
      <c r="HU303" s="90"/>
      <c r="HV303" s="90"/>
      <c r="HW303" s="90"/>
      <c r="HX303" s="90"/>
      <c r="HY303" s="90"/>
      <c r="HZ303" s="90"/>
      <c r="IA303" s="90"/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</row>
    <row r="304" spans="1:254" ht="15.75" x14ac:dyDescent="0.25">
      <c r="A304" s="58"/>
      <c r="B304" s="267"/>
      <c r="C304" s="357"/>
      <c r="D304" s="283" t="str">
        <f>IF(Team3!C33="","",Team3!C33)</f>
        <v>Tom Cormie</v>
      </c>
      <c r="E304" s="284"/>
      <c r="F304" s="287"/>
      <c r="G304" s="275"/>
      <c r="H304" s="276"/>
      <c r="I304" s="279"/>
      <c r="J304" s="282"/>
      <c r="K304" s="324"/>
      <c r="L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  <c r="HA304" s="90"/>
      <c r="HB304" s="90"/>
      <c r="HC304" s="90"/>
      <c r="HD304" s="90"/>
      <c r="HE304" s="90"/>
      <c r="HF304" s="90"/>
      <c r="HG304" s="90"/>
      <c r="HH304" s="90"/>
      <c r="HI304" s="90"/>
      <c r="HJ304" s="90"/>
      <c r="HK304" s="90"/>
      <c r="HL304" s="90"/>
      <c r="HM304" s="90"/>
      <c r="HN304" s="90"/>
      <c r="HO304" s="90"/>
      <c r="HP304" s="90"/>
      <c r="HQ304" s="90"/>
      <c r="HR304" s="90"/>
      <c r="HS304" s="90"/>
      <c r="HT304" s="90"/>
      <c r="HU304" s="90"/>
      <c r="HV304" s="90"/>
      <c r="HW304" s="90"/>
      <c r="HX304" s="90"/>
      <c r="HY304" s="90"/>
      <c r="HZ304" s="90"/>
      <c r="IA304" s="90"/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</row>
    <row r="305" spans="1:254" ht="15" customHeight="1" x14ac:dyDescent="0.2">
      <c r="A305" s="162"/>
      <c r="B305" s="358" t="str">
        <f>Team1!$C$4</f>
        <v>Coleraine</v>
      </c>
      <c r="C305" s="264">
        <v>5</v>
      </c>
      <c r="D305" s="283" t="str">
        <f>IF(Team1!D30="","",Team1!D30)</f>
        <v>Robyn Little</v>
      </c>
      <c r="E305" s="284"/>
      <c r="F305" s="289" t="s">
        <v>300</v>
      </c>
      <c r="G305" s="291">
        <v>3</v>
      </c>
      <c r="H305" s="276">
        <f t="shared" ref="H305" si="47">IF(G305="","",IF(G305=1,11, IF(G305=2,7,3)))</f>
        <v>3</v>
      </c>
      <c r="I305" s="294"/>
      <c r="J305" s="269"/>
      <c r="K305" s="308">
        <f>H305</f>
        <v>3</v>
      </c>
      <c r="L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  <c r="HA305" s="90"/>
      <c r="HB305" s="90"/>
      <c r="HC305" s="90"/>
      <c r="HD305" s="90"/>
      <c r="HE305" s="90"/>
      <c r="HF305" s="90"/>
      <c r="HG305" s="90"/>
      <c r="HH305" s="90"/>
      <c r="HI305" s="90"/>
      <c r="HJ305" s="90"/>
      <c r="HK305" s="90"/>
      <c r="HL305" s="90"/>
      <c r="HM305" s="90"/>
      <c r="HN305" s="90"/>
      <c r="HO305" s="90"/>
      <c r="HP305" s="90"/>
      <c r="HQ305" s="90"/>
      <c r="HR305" s="90"/>
      <c r="HS305" s="90"/>
      <c r="HT305" s="90"/>
      <c r="HU305" s="90"/>
      <c r="HV305" s="90"/>
      <c r="HW305" s="90"/>
      <c r="HX305" s="90"/>
      <c r="HY305" s="90"/>
      <c r="HZ305" s="90"/>
      <c r="IA305" s="90"/>
      <c r="IB305" s="90"/>
      <c r="IC305" s="90"/>
      <c r="ID305" s="90"/>
      <c r="IE305" s="90"/>
      <c r="IF305" s="90"/>
      <c r="IG305" s="90"/>
      <c r="IH305" s="90"/>
      <c r="II305" s="90"/>
      <c r="IJ305" s="90"/>
      <c r="IK305" s="90"/>
      <c r="IL305" s="90"/>
      <c r="IM305" s="90"/>
      <c r="IN305" s="90"/>
      <c r="IO305" s="90"/>
      <c r="IP305" s="90"/>
      <c r="IQ305" s="90"/>
      <c r="IR305" s="90"/>
      <c r="IS305" s="90"/>
      <c r="IT305" s="90"/>
    </row>
    <row r="306" spans="1:254" ht="15" customHeight="1" x14ac:dyDescent="0.2">
      <c r="A306" s="162"/>
      <c r="B306" s="267"/>
      <c r="C306" s="264"/>
      <c r="D306" s="283" t="str">
        <f>IF(Team1!D31="","",Team1!D31)</f>
        <v>Lewis Hawe</v>
      </c>
      <c r="E306" s="284"/>
      <c r="F306" s="286"/>
      <c r="G306" s="274"/>
      <c r="H306" s="276"/>
      <c r="I306" s="295"/>
      <c r="J306" s="270"/>
      <c r="K306" s="309"/>
      <c r="L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  <c r="HA306" s="90"/>
      <c r="HB306" s="90"/>
      <c r="HC306" s="90"/>
      <c r="HD306" s="90"/>
      <c r="HE306" s="90"/>
      <c r="HF306" s="90"/>
      <c r="HG306" s="90"/>
      <c r="HH306" s="90"/>
      <c r="HI306" s="90"/>
      <c r="HJ306" s="90"/>
      <c r="HK306" s="90"/>
      <c r="HL306" s="90"/>
      <c r="HM306" s="90"/>
      <c r="HN306" s="90"/>
      <c r="HO306" s="90"/>
      <c r="HP306" s="90"/>
      <c r="HQ306" s="90"/>
      <c r="HR306" s="90"/>
      <c r="HS306" s="90"/>
      <c r="HT306" s="90"/>
      <c r="HU306" s="90"/>
      <c r="HV306" s="90"/>
      <c r="HW306" s="90"/>
      <c r="HX306" s="90"/>
      <c r="HY306" s="90"/>
      <c r="HZ306" s="90"/>
      <c r="IA306" s="90"/>
      <c r="IB306" s="90"/>
      <c r="IC306" s="90"/>
      <c r="ID306" s="90"/>
      <c r="IE306" s="90"/>
      <c r="IF306" s="90"/>
      <c r="IG306" s="90"/>
      <c r="IH306" s="90"/>
      <c r="II306" s="90"/>
      <c r="IJ306" s="90"/>
      <c r="IK306" s="90"/>
      <c r="IL306" s="90"/>
      <c r="IM306" s="90"/>
      <c r="IN306" s="90"/>
      <c r="IO306" s="90"/>
      <c r="IP306" s="90"/>
      <c r="IQ306" s="90"/>
      <c r="IR306" s="90"/>
      <c r="IS306" s="90"/>
      <c r="IT306" s="90"/>
    </row>
    <row r="307" spans="1:254" ht="15" customHeight="1" x14ac:dyDescent="0.2">
      <c r="A307" s="162"/>
      <c r="B307" s="267"/>
      <c r="C307" s="264"/>
      <c r="D307" s="283" t="str">
        <f>IF(Team1!D32="","",Team1!D32)</f>
        <v>Campbell Smyth</v>
      </c>
      <c r="E307" s="284"/>
      <c r="F307" s="286"/>
      <c r="G307" s="274"/>
      <c r="H307" s="276"/>
      <c r="I307" s="295"/>
      <c r="J307" s="270"/>
      <c r="K307" s="309"/>
      <c r="L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  <c r="HA307" s="90"/>
      <c r="HB307" s="90"/>
      <c r="HC307" s="90"/>
      <c r="HD307" s="90"/>
      <c r="HE307" s="90"/>
      <c r="HF307" s="90"/>
      <c r="HG307" s="90"/>
      <c r="HH307" s="90"/>
      <c r="HI307" s="90"/>
      <c r="HJ307" s="90"/>
      <c r="HK307" s="90"/>
      <c r="HL307" s="90"/>
      <c r="HM307" s="90"/>
      <c r="HN307" s="90"/>
      <c r="HO307" s="90"/>
      <c r="HP307" s="90"/>
      <c r="HQ307" s="90"/>
      <c r="HR307" s="90"/>
      <c r="HS307" s="90"/>
      <c r="HT307" s="90"/>
      <c r="HU307" s="90"/>
      <c r="HV307" s="90"/>
      <c r="HW307" s="90"/>
      <c r="HX307" s="90"/>
      <c r="HY307" s="90"/>
      <c r="HZ307" s="90"/>
      <c r="IA307" s="90"/>
      <c r="IB307" s="90"/>
      <c r="IC307" s="90"/>
      <c r="ID307" s="90"/>
      <c r="IE307" s="90"/>
      <c r="IF307" s="90"/>
      <c r="IG307" s="90"/>
      <c r="IH307" s="90"/>
      <c r="II307" s="90"/>
      <c r="IJ307" s="90"/>
      <c r="IK307" s="90"/>
      <c r="IL307" s="90"/>
      <c r="IM307" s="90"/>
      <c r="IN307" s="90"/>
      <c r="IO307" s="90"/>
      <c r="IP307" s="90"/>
      <c r="IQ307" s="90"/>
      <c r="IR307" s="90"/>
      <c r="IS307" s="90"/>
      <c r="IT307" s="90"/>
    </row>
    <row r="308" spans="1:254" ht="15.75" customHeight="1" thickBot="1" x14ac:dyDescent="0.25">
      <c r="A308" s="51"/>
      <c r="B308" s="359"/>
      <c r="C308" s="288"/>
      <c r="D308" s="311" t="str">
        <f>IF(Team1!D33="","",Team1!D33)</f>
        <v>Olivia Jenkinson</v>
      </c>
      <c r="E308" s="312"/>
      <c r="F308" s="290"/>
      <c r="G308" s="292"/>
      <c r="H308" s="293"/>
      <c r="I308" s="296"/>
      <c r="J308" s="271"/>
      <c r="K308" s="310"/>
      <c r="L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  <c r="HA308" s="90"/>
      <c r="HB308" s="90"/>
      <c r="HC308" s="90"/>
      <c r="HD308" s="90"/>
      <c r="HE308" s="90"/>
      <c r="HF308" s="90"/>
      <c r="HG308" s="90"/>
      <c r="HH308" s="90"/>
      <c r="HI308" s="90"/>
      <c r="HJ308" s="90"/>
      <c r="HK308" s="90"/>
      <c r="HL308" s="90"/>
      <c r="HM308" s="90"/>
      <c r="HN308" s="90"/>
      <c r="HO308" s="90"/>
      <c r="HP308" s="90"/>
      <c r="HQ308" s="90"/>
      <c r="HR308" s="90"/>
      <c r="HS308" s="90"/>
      <c r="HT308" s="90"/>
      <c r="HU308" s="90"/>
      <c r="HV308" s="90"/>
      <c r="HW308" s="90"/>
      <c r="HX308" s="90"/>
      <c r="HY308" s="90"/>
      <c r="HZ308" s="90"/>
      <c r="IA308" s="90"/>
      <c r="IB308" s="90"/>
      <c r="IC308" s="90"/>
      <c r="ID308" s="90"/>
      <c r="IE308" s="90"/>
      <c r="IF308" s="90"/>
      <c r="IG308" s="90"/>
      <c r="IH308" s="90"/>
      <c r="II308" s="90"/>
      <c r="IJ308" s="90"/>
      <c r="IK308" s="90"/>
      <c r="IL308" s="90"/>
      <c r="IM308" s="90"/>
      <c r="IN308" s="90"/>
      <c r="IO308" s="90"/>
      <c r="IP308" s="90"/>
      <c r="IQ308" s="90"/>
      <c r="IR308" s="90"/>
      <c r="IS308" s="90"/>
      <c r="IT308" s="90"/>
    </row>
    <row r="309" spans="1:254" ht="15.75" x14ac:dyDescent="0.25">
      <c r="A309" s="49"/>
      <c r="B309" s="266" t="str">
        <f>Team2!$C$4</f>
        <v>Lisburn</v>
      </c>
      <c r="C309" s="314">
        <v>4</v>
      </c>
      <c r="D309" s="334" t="str">
        <f>IF(Team2!G30="","",Team2!G30)</f>
        <v xml:space="preserve">Charlie Williamson </v>
      </c>
      <c r="E309" s="335"/>
      <c r="F309" s="285" t="s">
        <v>302</v>
      </c>
      <c r="G309" s="321">
        <v>2</v>
      </c>
      <c r="H309" s="332">
        <f>IF(G309="","",IF(G309=1,11, IF(G309=2,7,3)))</f>
        <v>7</v>
      </c>
      <c r="I309" s="329">
        <f>H309</f>
        <v>7</v>
      </c>
      <c r="J309" s="317"/>
      <c r="K309" s="327"/>
      <c r="L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  <c r="HA309" s="90"/>
      <c r="HB309" s="90"/>
      <c r="HC309" s="90"/>
      <c r="HD309" s="90"/>
      <c r="HE309" s="90"/>
      <c r="HF309" s="90"/>
      <c r="HG309" s="90"/>
      <c r="HH309" s="90"/>
      <c r="HI309" s="90"/>
      <c r="HJ309" s="90"/>
      <c r="HK309" s="90"/>
      <c r="HL309" s="90"/>
      <c r="HM309" s="90"/>
      <c r="HN309" s="90"/>
      <c r="HO309" s="90"/>
      <c r="HP309" s="90"/>
      <c r="HQ309" s="90"/>
      <c r="HR309" s="90"/>
      <c r="HS309" s="90"/>
      <c r="HT309" s="90"/>
      <c r="HU309" s="90"/>
      <c r="HV309" s="90"/>
      <c r="HW309" s="90"/>
      <c r="HX309" s="90"/>
      <c r="HY309" s="90"/>
      <c r="HZ309" s="90"/>
      <c r="IA309" s="90"/>
      <c r="IB309" s="90"/>
      <c r="IC309" s="90"/>
      <c r="ID309" s="90"/>
      <c r="IE309" s="90"/>
      <c r="IF309" s="90"/>
      <c r="IG309" s="90"/>
      <c r="IH309" s="90"/>
      <c r="II309" s="90"/>
      <c r="IJ309" s="90"/>
      <c r="IK309" s="90"/>
      <c r="IL309" s="90"/>
      <c r="IM309" s="90"/>
      <c r="IN309" s="90"/>
      <c r="IO309" s="90"/>
      <c r="IP309" s="90"/>
      <c r="IQ309" s="90"/>
      <c r="IR309" s="90"/>
      <c r="IS309" s="90"/>
      <c r="IT309" s="90"/>
    </row>
    <row r="310" spans="1:254" ht="15.75" x14ac:dyDescent="0.25">
      <c r="A310" s="57"/>
      <c r="B310" s="267"/>
      <c r="C310" s="357"/>
      <c r="D310" s="283" t="str">
        <f>IF(Team2!G31="","",Team2!G31)</f>
        <v xml:space="preserve">Erin Fitzpatrick </v>
      </c>
      <c r="E310" s="284"/>
      <c r="F310" s="286"/>
      <c r="G310" s="274"/>
      <c r="H310" s="276"/>
      <c r="I310" s="330"/>
      <c r="J310" s="270"/>
      <c r="K310" s="328"/>
      <c r="L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  <c r="HA310" s="90"/>
      <c r="HB310" s="90"/>
      <c r="HC310" s="90"/>
      <c r="HD310" s="90"/>
      <c r="HE310" s="90"/>
      <c r="HF310" s="90"/>
      <c r="HG310" s="90"/>
      <c r="HH310" s="90"/>
      <c r="HI310" s="90"/>
      <c r="HJ310" s="90"/>
      <c r="HK310" s="90"/>
      <c r="HL310" s="90"/>
      <c r="HM310" s="90"/>
      <c r="HN310" s="90"/>
      <c r="HO310" s="90"/>
      <c r="HP310" s="90"/>
      <c r="HQ310" s="90"/>
      <c r="HR310" s="90"/>
      <c r="HS310" s="90"/>
      <c r="HT310" s="90"/>
      <c r="HU310" s="90"/>
      <c r="HV310" s="90"/>
      <c r="HW310" s="90"/>
      <c r="HX310" s="90"/>
      <c r="HY310" s="90"/>
      <c r="HZ310" s="90"/>
      <c r="IA310" s="90"/>
      <c r="IB310" s="90"/>
      <c r="IC310" s="90"/>
      <c r="ID310" s="90"/>
      <c r="IE310" s="90"/>
      <c r="IF310" s="90"/>
      <c r="IG310" s="90"/>
      <c r="IH310" s="90"/>
      <c r="II310" s="90"/>
      <c r="IJ310" s="90"/>
      <c r="IK310" s="90"/>
      <c r="IL310" s="90"/>
      <c r="IM310" s="90"/>
      <c r="IN310" s="90"/>
      <c r="IO310" s="90"/>
      <c r="IP310" s="90"/>
      <c r="IQ310" s="90"/>
      <c r="IR310" s="90"/>
      <c r="IS310" s="90"/>
      <c r="IT310" s="90"/>
    </row>
    <row r="311" spans="1:254" ht="15.75" x14ac:dyDescent="0.25">
      <c r="A311" s="57"/>
      <c r="B311" s="267"/>
      <c r="C311" s="357"/>
      <c r="D311" s="283" t="str">
        <f>IF(Team2!G32="","",Team2!G32)</f>
        <v>Zara Hopkins</v>
      </c>
      <c r="E311" s="284"/>
      <c r="F311" s="286"/>
      <c r="G311" s="274"/>
      <c r="H311" s="276"/>
      <c r="I311" s="330"/>
      <c r="J311" s="270"/>
      <c r="K311" s="328"/>
      <c r="L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  <c r="HA311" s="90"/>
      <c r="HB311" s="90"/>
      <c r="HC311" s="90"/>
      <c r="HD311" s="90"/>
      <c r="HE311" s="90"/>
      <c r="HF311" s="90"/>
      <c r="HG311" s="90"/>
      <c r="HH311" s="90"/>
      <c r="HI311" s="90"/>
      <c r="HJ311" s="90"/>
      <c r="HK311" s="90"/>
      <c r="HL311" s="90"/>
      <c r="HM311" s="90"/>
      <c r="HN311" s="90"/>
      <c r="HO311" s="90"/>
      <c r="HP311" s="90"/>
      <c r="HQ311" s="90"/>
      <c r="HR311" s="90"/>
      <c r="HS311" s="90"/>
      <c r="HT311" s="90"/>
      <c r="HU311" s="90"/>
      <c r="HV311" s="90"/>
      <c r="HW311" s="90"/>
      <c r="HX311" s="90"/>
      <c r="HY311" s="90"/>
      <c r="HZ311" s="90"/>
      <c r="IA311" s="90"/>
      <c r="IB311" s="90"/>
      <c r="IC311" s="90"/>
      <c r="ID311" s="90"/>
      <c r="IE311" s="90"/>
      <c r="IF311" s="90"/>
      <c r="IG311" s="90"/>
      <c r="IH311" s="90"/>
      <c r="II311" s="90"/>
      <c r="IJ311" s="90"/>
      <c r="IK311" s="90"/>
      <c r="IL311" s="90"/>
      <c r="IM311" s="90"/>
      <c r="IN311" s="90"/>
      <c r="IO311" s="90"/>
      <c r="IP311" s="90"/>
      <c r="IQ311" s="90"/>
      <c r="IR311" s="90"/>
      <c r="IS311" s="90"/>
      <c r="IT311" s="90"/>
    </row>
    <row r="312" spans="1:254" ht="15" customHeight="1" x14ac:dyDescent="0.2">
      <c r="A312" s="196"/>
      <c r="B312" s="267"/>
      <c r="C312" s="357"/>
      <c r="D312" s="283" t="str">
        <f>IF(Team2!G33="","",Team2!G33)</f>
        <v>Luke Coleman</v>
      </c>
      <c r="E312" s="284"/>
      <c r="F312" s="287"/>
      <c r="G312" s="275"/>
      <c r="H312" s="333"/>
      <c r="I312" s="331"/>
      <c r="J312" s="318"/>
      <c r="K312" s="328"/>
      <c r="L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  <c r="HA312" s="90"/>
      <c r="HB312" s="90"/>
      <c r="HC312" s="90"/>
      <c r="HD312" s="90"/>
      <c r="HE312" s="90"/>
      <c r="HF312" s="90"/>
      <c r="HG312" s="90"/>
      <c r="HH312" s="90"/>
      <c r="HI312" s="90"/>
      <c r="HJ312" s="90"/>
      <c r="HK312" s="90"/>
      <c r="HL312" s="90"/>
      <c r="HM312" s="90"/>
      <c r="HN312" s="90"/>
      <c r="HO312" s="90"/>
      <c r="HP312" s="90"/>
      <c r="HQ312" s="90"/>
      <c r="HR312" s="90"/>
      <c r="HS312" s="90"/>
      <c r="HT312" s="90"/>
      <c r="HU312" s="90"/>
      <c r="HV312" s="90"/>
      <c r="HW312" s="90"/>
      <c r="HX312" s="90"/>
      <c r="HY312" s="90"/>
      <c r="HZ312" s="90"/>
      <c r="IA312" s="90"/>
      <c r="IB312" s="90"/>
      <c r="IC312" s="90"/>
      <c r="ID312" s="90"/>
      <c r="IE312" s="90"/>
      <c r="IF312" s="90"/>
      <c r="IG312" s="90"/>
      <c r="IH312" s="90"/>
      <c r="II312" s="90"/>
      <c r="IJ312" s="90"/>
      <c r="IK312" s="90"/>
      <c r="IL312" s="90"/>
      <c r="IM312" s="90"/>
      <c r="IN312" s="90"/>
      <c r="IO312" s="90"/>
      <c r="IP312" s="90"/>
      <c r="IQ312" s="90"/>
      <c r="IR312" s="90"/>
      <c r="IS312" s="90"/>
      <c r="IT312" s="90"/>
    </row>
    <row r="313" spans="1:254" ht="15.75" x14ac:dyDescent="0.25">
      <c r="A313" s="58">
        <v>38</v>
      </c>
      <c r="B313" s="358" t="str">
        <f>Team3!$C$4</f>
        <v>Limavady</v>
      </c>
      <c r="C313" s="357">
        <v>3</v>
      </c>
      <c r="D313" s="283" t="str">
        <f>IF(Team3!G30="","",Team3!G30)</f>
        <v>Kevin Mc Macken</v>
      </c>
      <c r="E313" s="284"/>
      <c r="F313" s="289" t="s">
        <v>301</v>
      </c>
      <c r="G313" s="273">
        <v>1</v>
      </c>
      <c r="H313" s="276">
        <f t="shared" ref="H313" si="48">IF(G313="","",IF(G313=1,11, IF(G313=2,7,3)))</f>
        <v>11</v>
      </c>
      <c r="I313" s="277"/>
      <c r="J313" s="280">
        <f>H313</f>
        <v>11</v>
      </c>
      <c r="K313" s="322"/>
      <c r="L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  <c r="HA313" s="90"/>
      <c r="HB313" s="90"/>
      <c r="HC313" s="90"/>
      <c r="HD313" s="90"/>
      <c r="HE313" s="90"/>
      <c r="HF313" s="90"/>
      <c r="HG313" s="90"/>
      <c r="HH313" s="90"/>
      <c r="HI313" s="90"/>
      <c r="HJ313" s="90"/>
      <c r="HK313" s="90"/>
      <c r="HL313" s="90"/>
      <c r="HM313" s="90"/>
      <c r="HN313" s="90"/>
      <c r="HO313" s="90"/>
      <c r="HP313" s="90"/>
      <c r="HQ313" s="90"/>
      <c r="HR313" s="90"/>
      <c r="HS313" s="90"/>
      <c r="HT313" s="90"/>
      <c r="HU313" s="90"/>
      <c r="HV313" s="90"/>
      <c r="HW313" s="90"/>
      <c r="HX313" s="90"/>
      <c r="HY313" s="90"/>
      <c r="HZ313" s="90"/>
      <c r="IA313" s="90"/>
      <c r="IB313" s="90"/>
      <c r="IC313" s="90"/>
      <c r="ID313" s="90"/>
      <c r="IE313" s="90"/>
      <c r="IF313" s="90"/>
      <c r="IG313" s="90"/>
      <c r="IH313" s="90"/>
      <c r="II313" s="90"/>
      <c r="IJ313" s="90"/>
      <c r="IK313" s="90"/>
      <c r="IL313" s="90"/>
      <c r="IM313" s="90"/>
      <c r="IN313" s="90"/>
      <c r="IO313" s="90"/>
      <c r="IP313" s="90"/>
      <c r="IQ313" s="90"/>
      <c r="IR313" s="90"/>
      <c r="IS313" s="90"/>
      <c r="IT313" s="90"/>
    </row>
    <row r="314" spans="1:254" ht="15.75" x14ac:dyDescent="0.25">
      <c r="A314" s="58"/>
      <c r="B314" s="267"/>
      <c r="C314" s="357"/>
      <c r="D314" s="283" t="s">
        <v>251</v>
      </c>
      <c r="E314" s="284"/>
      <c r="F314" s="286"/>
      <c r="G314" s="274"/>
      <c r="H314" s="276"/>
      <c r="I314" s="278"/>
      <c r="J314" s="281"/>
      <c r="K314" s="323"/>
      <c r="L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  <c r="HA314" s="90"/>
      <c r="HB314" s="90"/>
      <c r="HC314" s="90"/>
      <c r="HD314" s="90"/>
      <c r="HE314" s="90"/>
      <c r="HF314" s="90"/>
      <c r="HG314" s="90"/>
      <c r="HH314" s="90"/>
      <c r="HI314" s="90"/>
      <c r="HJ314" s="90"/>
      <c r="HK314" s="90"/>
      <c r="HL314" s="90"/>
      <c r="HM314" s="90"/>
      <c r="HN314" s="90"/>
      <c r="HO314" s="90"/>
      <c r="HP314" s="90"/>
      <c r="HQ314" s="90"/>
      <c r="HR314" s="90"/>
      <c r="HS314" s="90"/>
      <c r="HT314" s="90"/>
      <c r="HU314" s="90"/>
      <c r="HV314" s="90"/>
      <c r="HW314" s="90"/>
      <c r="HX314" s="90"/>
      <c r="HY314" s="90"/>
      <c r="HZ314" s="90"/>
      <c r="IA314" s="90"/>
      <c r="IB314" s="90"/>
      <c r="IC314" s="90"/>
      <c r="ID314" s="90"/>
      <c r="IE314" s="90"/>
      <c r="IF314" s="90"/>
      <c r="IG314" s="90"/>
      <c r="IH314" s="90"/>
      <c r="II314" s="90"/>
      <c r="IJ314" s="90"/>
      <c r="IK314" s="90"/>
      <c r="IL314" s="90"/>
      <c r="IM314" s="90"/>
      <c r="IN314" s="90"/>
      <c r="IO314" s="90"/>
      <c r="IP314" s="90"/>
      <c r="IQ314" s="90"/>
      <c r="IR314" s="90"/>
      <c r="IS314" s="90"/>
      <c r="IT314" s="90"/>
    </row>
    <row r="315" spans="1:254" ht="15.75" x14ac:dyDescent="0.25">
      <c r="A315" s="58" t="s">
        <v>26</v>
      </c>
      <c r="B315" s="267"/>
      <c r="C315" s="357"/>
      <c r="D315" s="283" t="s">
        <v>252</v>
      </c>
      <c r="E315" s="284"/>
      <c r="F315" s="286"/>
      <c r="G315" s="274"/>
      <c r="H315" s="276"/>
      <c r="I315" s="278"/>
      <c r="J315" s="281"/>
      <c r="K315" s="323"/>
      <c r="L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  <c r="HA315" s="90"/>
      <c r="HB315" s="90"/>
      <c r="HC315" s="90"/>
      <c r="HD315" s="90"/>
      <c r="HE315" s="90"/>
      <c r="HF315" s="90"/>
      <c r="HG315" s="90"/>
      <c r="HH315" s="90"/>
      <c r="HI315" s="90"/>
      <c r="HJ315" s="90"/>
      <c r="HK315" s="90"/>
      <c r="HL315" s="90"/>
      <c r="HM315" s="90"/>
      <c r="HN315" s="90"/>
      <c r="HO315" s="90"/>
      <c r="HP315" s="90"/>
      <c r="HQ315" s="90"/>
      <c r="HR315" s="90"/>
      <c r="HS315" s="90"/>
      <c r="HT315" s="90"/>
      <c r="HU315" s="90"/>
      <c r="HV315" s="90"/>
      <c r="HW315" s="90"/>
      <c r="HX315" s="90"/>
      <c r="HY315" s="90"/>
      <c r="HZ315" s="90"/>
      <c r="IA315" s="90"/>
      <c r="IB315" s="90"/>
      <c r="IC315" s="90"/>
      <c r="ID315" s="90"/>
      <c r="IE315" s="90"/>
      <c r="IF315" s="90"/>
      <c r="IG315" s="90"/>
      <c r="IH315" s="90"/>
      <c r="II315" s="90"/>
      <c r="IJ315" s="90"/>
      <c r="IK315" s="90"/>
      <c r="IL315" s="90"/>
      <c r="IM315" s="90"/>
      <c r="IN315" s="90"/>
      <c r="IO315" s="90"/>
      <c r="IP315" s="90"/>
      <c r="IQ315" s="90"/>
      <c r="IR315" s="90"/>
      <c r="IS315" s="90"/>
      <c r="IT315" s="90"/>
    </row>
    <row r="316" spans="1:254" ht="15.75" x14ac:dyDescent="0.25">
      <c r="A316" s="58"/>
      <c r="B316" s="267"/>
      <c r="C316" s="357"/>
      <c r="D316" s="283" t="str">
        <f>IF(Team3!G33="","",Team3!G33)</f>
        <v>Sam Staats Howard</v>
      </c>
      <c r="E316" s="284"/>
      <c r="F316" s="287"/>
      <c r="G316" s="275"/>
      <c r="H316" s="276"/>
      <c r="I316" s="279"/>
      <c r="J316" s="282"/>
      <c r="K316" s="324"/>
      <c r="L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  <c r="HA316" s="90"/>
      <c r="HB316" s="90"/>
      <c r="HC316" s="90"/>
      <c r="HD316" s="90"/>
      <c r="HE316" s="90"/>
      <c r="HF316" s="90"/>
      <c r="HG316" s="90"/>
      <c r="HH316" s="90"/>
      <c r="HI316" s="90"/>
      <c r="HJ316" s="90"/>
      <c r="HK316" s="90"/>
      <c r="HL316" s="90"/>
      <c r="HM316" s="90"/>
      <c r="HN316" s="90"/>
      <c r="HO316" s="90"/>
      <c r="HP316" s="90"/>
      <c r="HQ316" s="90"/>
      <c r="HR316" s="90"/>
      <c r="HS316" s="90"/>
      <c r="HT316" s="90"/>
      <c r="HU316" s="90"/>
      <c r="HV316" s="90"/>
      <c r="HW316" s="90"/>
      <c r="HX316" s="90"/>
      <c r="HY316" s="90"/>
      <c r="HZ316" s="90"/>
      <c r="IA316" s="90"/>
      <c r="IB316" s="90"/>
      <c r="IC316" s="90"/>
      <c r="ID316" s="90"/>
      <c r="IE316" s="90"/>
      <c r="IF316" s="90"/>
      <c r="IG316" s="90"/>
      <c r="IH316" s="90"/>
      <c r="II316" s="90"/>
      <c r="IJ316" s="90"/>
      <c r="IK316" s="90"/>
      <c r="IL316" s="90"/>
      <c r="IM316" s="90"/>
      <c r="IN316" s="90"/>
      <c r="IO316" s="90"/>
      <c r="IP316" s="90"/>
      <c r="IQ316" s="90"/>
      <c r="IR316" s="90"/>
      <c r="IS316" s="90"/>
      <c r="IT316" s="90"/>
    </row>
    <row r="317" spans="1:254" ht="15" customHeight="1" x14ac:dyDescent="0.2">
      <c r="A317" s="162"/>
      <c r="B317" s="358" t="str">
        <f>Team1!$C$4</f>
        <v>Coleraine</v>
      </c>
      <c r="C317" s="264">
        <v>5</v>
      </c>
      <c r="D317" s="283" t="str">
        <f>IF(Team1!H30="","",Team1!H30)</f>
        <v>Erin Isley</v>
      </c>
      <c r="E317" s="284"/>
      <c r="F317" s="289" t="s">
        <v>303</v>
      </c>
      <c r="G317" s="291">
        <v>3</v>
      </c>
      <c r="H317" s="276">
        <f t="shared" ref="H317" si="49">IF(G317="","",IF(G317=1,11, IF(G317=2,7,3)))</f>
        <v>3</v>
      </c>
      <c r="I317" s="294"/>
      <c r="J317" s="269"/>
      <c r="K317" s="308">
        <f>H317</f>
        <v>3</v>
      </c>
      <c r="L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  <c r="HA317" s="90"/>
      <c r="HB317" s="90"/>
      <c r="HC317" s="90"/>
      <c r="HD317" s="90"/>
      <c r="HE317" s="90"/>
      <c r="HF317" s="90"/>
      <c r="HG317" s="90"/>
      <c r="HH317" s="90"/>
      <c r="HI317" s="90"/>
      <c r="HJ317" s="90"/>
      <c r="HK317" s="90"/>
      <c r="HL317" s="90"/>
      <c r="HM317" s="90"/>
      <c r="HN317" s="90"/>
      <c r="HO317" s="90"/>
      <c r="HP317" s="90"/>
      <c r="HQ317" s="90"/>
      <c r="HR317" s="90"/>
      <c r="HS317" s="90"/>
      <c r="HT317" s="90"/>
      <c r="HU317" s="90"/>
      <c r="HV317" s="90"/>
      <c r="HW317" s="90"/>
      <c r="HX317" s="90"/>
      <c r="HY317" s="90"/>
      <c r="HZ317" s="90"/>
      <c r="IA317" s="90"/>
      <c r="IB317" s="90"/>
      <c r="IC317" s="90"/>
      <c r="ID317" s="90"/>
      <c r="IE317" s="90"/>
      <c r="IF317" s="90"/>
      <c r="IG317" s="90"/>
      <c r="IH317" s="90"/>
      <c r="II317" s="90"/>
      <c r="IJ317" s="90"/>
      <c r="IK317" s="90"/>
      <c r="IL317" s="90"/>
      <c r="IM317" s="90"/>
      <c r="IN317" s="90"/>
      <c r="IO317" s="90"/>
      <c r="IP317" s="90"/>
      <c r="IQ317" s="90"/>
      <c r="IR317" s="90"/>
      <c r="IS317" s="90"/>
      <c r="IT317" s="90"/>
    </row>
    <row r="318" spans="1:254" ht="15" customHeight="1" x14ac:dyDescent="0.2">
      <c r="A318" s="162"/>
      <c r="B318" s="267"/>
      <c r="C318" s="264"/>
      <c r="D318" s="283" t="str">
        <f>IF(Team1!H31="","",Team1!H31)</f>
        <v>James Hegarty</v>
      </c>
      <c r="E318" s="284"/>
      <c r="F318" s="286"/>
      <c r="G318" s="274"/>
      <c r="H318" s="276"/>
      <c r="I318" s="295"/>
      <c r="J318" s="270"/>
      <c r="K318" s="309"/>
      <c r="L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  <c r="HA318" s="90"/>
      <c r="HB318" s="90"/>
      <c r="HC318" s="90"/>
      <c r="HD318" s="90"/>
      <c r="HE318" s="90"/>
      <c r="HF318" s="90"/>
      <c r="HG318" s="90"/>
      <c r="HH318" s="90"/>
      <c r="HI318" s="90"/>
      <c r="HJ318" s="90"/>
      <c r="HK318" s="90"/>
      <c r="HL318" s="90"/>
      <c r="HM318" s="90"/>
      <c r="HN318" s="90"/>
      <c r="HO318" s="90"/>
      <c r="HP318" s="90"/>
      <c r="HQ318" s="90"/>
      <c r="HR318" s="90"/>
      <c r="HS318" s="90"/>
      <c r="HT318" s="90"/>
      <c r="HU318" s="90"/>
      <c r="HV318" s="90"/>
      <c r="HW318" s="90"/>
      <c r="HX318" s="90"/>
      <c r="HY318" s="90"/>
      <c r="HZ318" s="90"/>
      <c r="IA318" s="90"/>
      <c r="IB318" s="90"/>
      <c r="IC318" s="90"/>
      <c r="ID318" s="90"/>
      <c r="IE318" s="90"/>
      <c r="IF318" s="90"/>
      <c r="IG318" s="90"/>
      <c r="IH318" s="90"/>
      <c r="II318" s="90"/>
      <c r="IJ318" s="90"/>
      <c r="IK318" s="90"/>
      <c r="IL318" s="90"/>
      <c r="IM318" s="90"/>
      <c r="IN318" s="90"/>
      <c r="IO318" s="90"/>
      <c r="IP318" s="90"/>
      <c r="IQ318" s="90"/>
      <c r="IR318" s="90"/>
      <c r="IS318" s="90"/>
      <c r="IT318" s="90"/>
    </row>
    <row r="319" spans="1:254" ht="15" customHeight="1" x14ac:dyDescent="0.2">
      <c r="A319" s="162"/>
      <c r="B319" s="267"/>
      <c r="C319" s="264"/>
      <c r="D319" s="283" t="str">
        <f>IF(Team1!H32="","",Team1!H32)</f>
        <v>Rose McKenna</v>
      </c>
      <c r="E319" s="284"/>
      <c r="F319" s="286"/>
      <c r="G319" s="274"/>
      <c r="H319" s="276"/>
      <c r="I319" s="295"/>
      <c r="J319" s="270"/>
      <c r="K319" s="309"/>
      <c r="L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  <c r="HA319" s="90"/>
      <c r="HB319" s="90"/>
      <c r="HC319" s="90"/>
      <c r="HD319" s="90"/>
      <c r="HE319" s="90"/>
      <c r="HF319" s="90"/>
      <c r="HG319" s="90"/>
      <c r="HH319" s="90"/>
      <c r="HI319" s="90"/>
      <c r="HJ319" s="90"/>
      <c r="HK319" s="90"/>
      <c r="HL319" s="90"/>
      <c r="HM319" s="90"/>
      <c r="HN319" s="90"/>
      <c r="HO319" s="90"/>
      <c r="HP319" s="90"/>
      <c r="HQ319" s="90"/>
      <c r="HR319" s="90"/>
      <c r="HS319" s="90"/>
      <c r="HT319" s="90"/>
      <c r="HU319" s="90"/>
      <c r="HV319" s="90"/>
      <c r="HW319" s="90"/>
      <c r="HX319" s="90"/>
      <c r="HY319" s="90"/>
      <c r="HZ319" s="90"/>
      <c r="IA319" s="90"/>
      <c r="IB319" s="90"/>
      <c r="IC319" s="90"/>
      <c r="ID319" s="90"/>
      <c r="IE319" s="90"/>
      <c r="IF319" s="90"/>
      <c r="IG319" s="90"/>
      <c r="IH319" s="90"/>
      <c r="II319" s="90"/>
      <c r="IJ319" s="90"/>
      <c r="IK319" s="90"/>
      <c r="IL319" s="90"/>
      <c r="IM319" s="90"/>
      <c r="IN319" s="90"/>
      <c r="IO319" s="90"/>
      <c r="IP319" s="90"/>
      <c r="IQ319" s="90"/>
      <c r="IR319" s="90"/>
      <c r="IS319" s="90"/>
      <c r="IT319" s="90"/>
    </row>
    <row r="320" spans="1:254" ht="15.75" customHeight="1" thickBot="1" x14ac:dyDescent="0.25">
      <c r="A320" s="51"/>
      <c r="B320" s="359"/>
      <c r="C320" s="288"/>
      <c r="D320" s="311" t="str">
        <f>IF(Team1!H33="","",Team1!H33)</f>
        <v>Noah McClelland</v>
      </c>
      <c r="E320" s="312"/>
      <c r="F320" s="290"/>
      <c r="G320" s="292"/>
      <c r="H320" s="293"/>
      <c r="I320" s="296"/>
      <c r="J320" s="271"/>
      <c r="K320" s="310"/>
      <c r="L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  <c r="HA320" s="90"/>
      <c r="HB320" s="90"/>
      <c r="HC320" s="90"/>
      <c r="HD320" s="90"/>
      <c r="HE320" s="90"/>
      <c r="HF320" s="90"/>
      <c r="HG320" s="90"/>
      <c r="HH320" s="90"/>
      <c r="HI320" s="90"/>
      <c r="HJ320" s="90"/>
      <c r="HK320" s="90"/>
      <c r="HL320" s="90"/>
      <c r="HM320" s="90"/>
      <c r="HN320" s="90"/>
      <c r="HO320" s="90"/>
      <c r="HP320" s="90"/>
      <c r="HQ320" s="90"/>
      <c r="HR320" s="90"/>
      <c r="HS320" s="90"/>
      <c r="HT320" s="90"/>
      <c r="HU320" s="90"/>
      <c r="HV320" s="90"/>
      <c r="HW320" s="90"/>
      <c r="HX320" s="90"/>
      <c r="HY320" s="90"/>
      <c r="HZ320" s="90"/>
      <c r="IA320" s="90"/>
      <c r="IB320" s="90"/>
      <c r="IC320" s="90"/>
      <c r="ID320" s="90"/>
      <c r="IE320" s="90"/>
      <c r="IF320" s="90"/>
      <c r="IG320" s="90"/>
      <c r="IH320" s="90"/>
      <c r="II320" s="90"/>
      <c r="IJ320" s="90"/>
      <c r="IK320" s="90"/>
      <c r="IL320" s="90"/>
      <c r="IM320" s="90"/>
      <c r="IN320" s="90"/>
      <c r="IO320" s="90"/>
      <c r="IP320" s="90"/>
      <c r="IQ320" s="90"/>
      <c r="IR320" s="90"/>
      <c r="IS320" s="90"/>
      <c r="IT320" s="90"/>
    </row>
    <row r="321" spans="1:254" ht="15.75" x14ac:dyDescent="0.25">
      <c r="A321" s="61"/>
      <c r="B321" s="181"/>
      <c r="C321" s="62"/>
      <c r="D321" s="63"/>
      <c r="E321" s="63"/>
      <c r="F321" s="59"/>
      <c r="G321" s="76" t="s">
        <v>33</v>
      </c>
      <c r="H321" s="60"/>
      <c r="I321" s="216">
        <f>IF(SUM(I297,I309)=0,"",SUM(I297,I309))</f>
        <v>18</v>
      </c>
      <c r="J321" s="217">
        <f>IF(SUM(J301,J313)=0,"",SUM(J301,J313))</f>
        <v>18</v>
      </c>
      <c r="K321" s="218">
        <f>IF(SUM(K305,K317)=0,"",SUM(K305,K317))</f>
        <v>6</v>
      </c>
      <c r="L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  <c r="HA321" s="90"/>
      <c r="HB321" s="90"/>
      <c r="HC321" s="90"/>
      <c r="HD321" s="90"/>
      <c r="HE321" s="90"/>
      <c r="HF321" s="90"/>
      <c r="HG321" s="90"/>
      <c r="HH321" s="90"/>
      <c r="HI321" s="90"/>
      <c r="HJ321" s="90"/>
      <c r="HK321" s="90"/>
      <c r="HL321" s="90"/>
      <c r="HM321" s="90"/>
      <c r="HN321" s="90"/>
      <c r="HO321" s="90"/>
      <c r="HP321" s="90"/>
      <c r="HQ321" s="90"/>
      <c r="HR321" s="90"/>
      <c r="HS321" s="90"/>
      <c r="HT321" s="90"/>
      <c r="HU321" s="90"/>
      <c r="HV321" s="90"/>
      <c r="HW321" s="90"/>
      <c r="HX321" s="90"/>
      <c r="HY321" s="90"/>
      <c r="HZ321" s="90"/>
      <c r="IA321" s="90"/>
      <c r="IB321" s="90"/>
      <c r="IC321" s="90"/>
      <c r="ID321" s="90"/>
      <c r="IE321" s="90"/>
      <c r="IF321" s="90"/>
      <c r="IG321" s="90"/>
      <c r="IH321" s="90"/>
      <c r="II321" s="90"/>
      <c r="IJ321" s="90"/>
      <c r="IK321" s="90"/>
      <c r="IL321" s="90"/>
      <c r="IM321" s="90"/>
      <c r="IN321" s="90"/>
      <c r="IO321" s="90"/>
      <c r="IP321" s="90"/>
      <c r="IQ321" s="90"/>
      <c r="IR321" s="90"/>
      <c r="IS321" s="90"/>
      <c r="IT321" s="90"/>
    </row>
    <row r="322" spans="1:254" ht="15.75" x14ac:dyDescent="0.25">
      <c r="A322" s="61"/>
      <c r="B322" s="181"/>
      <c r="C322" s="62"/>
      <c r="D322" s="63"/>
      <c r="E322" s="63"/>
      <c r="F322" s="62"/>
      <c r="G322" s="78" t="s">
        <v>34</v>
      </c>
      <c r="H322" s="64"/>
      <c r="I322" s="219">
        <f>I291</f>
        <v>284</v>
      </c>
      <c r="J322" s="219">
        <f t="shared" ref="J322:K322" si="50">J291</f>
        <v>222</v>
      </c>
      <c r="K322" s="221">
        <f t="shared" si="50"/>
        <v>250</v>
      </c>
      <c r="L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  <c r="HA322" s="90"/>
      <c r="HB322" s="90"/>
      <c r="HC322" s="90"/>
      <c r="HD322" s="90"/>
      <c r="HE322" s="90"/>
      <c r="HF322" s="90"/>
      <c r="HG322" s="90"/>
      <c r="HH322" s="90"/>
      <c r="HI322" s="90"/>
      <c r="HJ322" s="90"/>
      <c r="HK322" s="90"/>
      <c r="HL322" s="90"/>
      <c r="HM322" s="90"/>
      <c r="HN322" s="90"/>
      <c r="HO322" s="90"/>
      <c r="HP322" s="90"/>
      <c r="HQ322" s="90"/>
      <c r="HR322" s="90"/>
      <c r="HS322" s="90"/>
      <c r="HT322" s="90"/>
      <c r="HU322" s="90"/>
      <c r="HV322" s="90"/>
      <c r="HW322" s="90"/>
      <c r="HX322" s="90"/>
      <c r="HY322" s="90"/>
      <c r="HZ322" s="90"/>
      <c r="IA322" s="90"/>
      <c r="IB322" s="90"/>
      <c r="IC322" s="90"/>
      <c r="ID322" s="90"/>
      <c r="IE322" s="90"/>
      <c r="IF322" s="90"/>
      <c r="IG322" s="90"/>
      <c r="IH322" s="90"/>
      <c r="II322" s="90"/>
      <c r="IJ322" s="90"/>
      <c r="IK322" s="90"/>
      <c r="IL322" s="90"/>
      <c r="IM322" s="90"/>
      <c r="IN322" s="90"/>
      <c r="IO322" s="90"/>
      <c r="IP322" s="90"/>
      <c r="IQ322" s="90"/>
      <c r="IR322" s="90"/>
      <c r="IS322" s="90"/>
      <c r="IT322" s="90"/>
    </row>
    <row r="323" spans="1:254" ht="16.5" thickBot="1" x14ac:dyDescent="0.3">
      <c r="A323" s="65"/>
      <c r="B323" s="180"/>
      <c r="C323" s="46"/>
      <c r="D323" s="48"/>
      <c r="E323" s="48"/>
      <c r="F323" s="46"/>
      <c r="G323" s="82" t="s">
        <v>35</v>
      </c>
      <c r="H323" s="66"/>
      <c r="I323" s="189">
        <f>IF(SUM(I321,I322)=0,"",SUM(I321,I322))</f>
        <v>302</v>
      </c>
      <c r="J323" s="190">
        <f t="shared" ref="J323:K323" si="51">IF(SUM(J321,J322)=0,"",SUM(J321,J322))</f>
        <v>240</v>
      </c>
      <c r="K323" s="191">
        <f t="shared" si="51"/>
        <v>256</v>
      </c>
      <c r="L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  <c r="HA323" s="90"/>
      <c r="HB323" s="90"/>
      <c r="HC323" s="90"/>
      <c r="HD323" s="90"/>
      <c r="HE323" s="90"/>
      <c r="HF323" s="90"/>
      <c r="HG323" s="90"/>
      <c r="HH323" s="90"/>
      <c r="HI323" s="90"/>
      <c r="HJ323" s="90"/>
      <c r="HK323" s="90"/>
      <c r="HL323" s="90"/>
      <c r="HM323" s="90"/>
      <c r="HN323" s="90"/>
      <c r="HO323" s="90"/>
      <c r="HP323" s="90"/>
      <c r="HQ323" s="90"/>
      <c r="HR323" s="90"/>
      <c r="HS323" s="90"/>
      <c r="HT323" s="90"/>
      <c r="HU323" s="90"/>
      <c r="HV323" s="90"/>
      <c r="HW323" s="90"/>
      <c r="HX323" s="90"/>
      <c r="HY323" s="90"/>
      <c r="HZ323" s="90"/>
      <c r="IA323" s="90"/>
      <c r="IB323" s="90"/>
      <c r="IC323" s="90"/>
      <c r="ID323" s="90"/>
      <c r="IE323" s="90"/>
      <c r="IF323" s="90"/>
      <c r="IG323" s="90"/>
      <c r="IH323" s="90"/>
      <c r="II323" s="90"/>
      <c r="IJ323" s="90"/>
      <c r="IK323" s="90"/>
      <c r="IL323" s="90"/>
      <c r="IM323" s="90"/>
      <c r="IN323" s="90"/>
      <c r="IO323" s="90"/>
      <c r="IP323" s="90"/>
      <c r="IQ323" s="90"/>
      <c r="IR323" s="90"/>
      <c r="IS323" s="90"/>
      <c r="IT323" s="90"/>
    </row>
    <row r="324" spans="1:254" ht="15.75" x14ac:dyDescent="0.25">
      <c r="A324" s="62"/>
      <c r="B324" s="181"/>
      <c r="C324" s="62"/>
      <c r="D324" s="63"/>
      <c r="E324" s="63"/>
      <c r="F324" s="62"/>
      <c r="G324" s="175"/>
      <c r="H324" s="175"/>
      <c r="I324" s="192"/>
      <c r="J324" s="192"/>
      <c r="K324" s="192"/>
      <c r="L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  <c r="HA324" s="90"/>
      <c r="HB324" s="90"/>
      <c r="HC324" s="90"/>
      <c r="HD324" s="90"/>
      <c r="HE324" s="90"/>
      <c r="HF324" s="90"/>
      <c r="HG324" s="90"/>
      <c r="HH324" s="90"/>
      <c r="HI324" s="90"/>
      <c r="HJ324" s="90"/>
      <c r="HK324" s="90"/>
      <c r="HL324" s="90"/>
      <c r="HM324" s="90"/>
      <c r="HN324" s="90"/>
      <c r="HO324" s="90"/>
      <c r="HP324" s="90"/>
      <c r="HQ324" s="90"/>
      <c r="HR324" s="90"/>
      <c r="HS324" s="90"/>
      <c r="HT324" s="90"/>
      <c r="HU324" s="90"/>
      <c r="HV324" s="90"/>
      <c r="HW324" s="90"/>
      <c r="HX324" s="90"/>
      <c r="HY324" s="90"/>
      <c r="HZ324" s="90"/>
      <c r="IA324" s="90"/>
      <c r="IB324" s="90"/>
      <c r="IC324" s="90"/>
      <c r="ID324" s="90"/>
      <c r="IE324" s="90"/>
      <c r="IF324" s="90"/>
      <c r="IG324" s="90"/>
      <c r="IH324" s="90"/>
      <c r="II324" s="90"/>
      <c r="IJ324" s="90"/>
      <c r="IK324" s="90"/>
      <c r="IL324" s="90"/>
      <c r="IM324" s="90"/>
      <c r="IN324" s="90"/>
      <c r="IO324" s="90"/>
      <c r="IP324" s="90"/>
      <c r="IQ324" s="90"/>
      <c r="IR324" s="90"/>
      <c r="IS324" s="90"/>
      <c r="IT324" s="90"/>
    </row>
    <row r="325" spans="1:254" ht="15.75" x14ac:dyDescent="0.25">
      <c r="A325" s="336" t="s">
        <v>39</v>
      </c>
      <c r="B325" s="337"/>
      <c r="C325" s="337"/>
      <c r="D325" s="337"/>
      <c r="E325" s="337"/>
      <c r="F325" s="337"/>
      <c r="G325" s="337"/>
      <c r="H325" s="337"/>
      <c r="I325" s="337"/>
      <c r="J325" s="337"/>
      <c r="K325" s="337"/>
      <c r="L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  <c r="HA325" s="90"/>
      <c r="HB325" s="90"/>
      <c r="HC325" s="90"/>
      <c r="HD325" s="90"/>
      <c r="HE325" s="90"/>
      <c r="HF325" s="90"/>
      <c r="HG325" s="90"/>
      <c r="HH325" s="90"/>
      <c r="HI325" s="90"/>
      <c r="HJ325" s="90"/>
      <c r="HK325" s="90"/>
      <c r="HL325" s="90"/>
      <c r="HM325" s="90"/>
      <c r="HN325" s="90"/>
      <c r="HO325" s="90"/>
      <c r="HP325" s="90"/>
      <c r="HQ325" s="90"/>
      <c r="HR325" s="90"/>
      <c r="HS325" s="90"/>
      <c r="HT325" s="90"/>
      <c r="HU325" s="90"/>
      <c r="HV325" s="90"/>
      <c r="HW325" s="90"/>
      <c r="HX325" s="90"/>
      <c r="HY325" s="90"/>
      <c r="HZ325" s="90"/>
      <c r="IA325" s="90"/>
      <c r="IB325" s="90"/>
      <c r="IC325" s="90"/>
      <c r="ID325" s="90"/>
      <c r="IE325" s="90"/>
      <c r="IF325" s="90"/>
      <c r="IG325" s="90"/>
      <c r="IH325" s="90"/>
      <c r="II325" s="90"/>
      <c r="IJ325" s="90"/>
      <c r="IK325" s="90"/>
      <c r="IL325" s="90"/>
      <c r="IM325" s="90"/>
      <c r="IN325" s="90"/>
      <c r="IO325" s="90"/>
      <c r="IP325" s="90"/>
      <c r="IQ325" s="90"/>
      <c r="IR325" s="90"/>
      <c r="IS325" s="90"/>
      <c r="IT325" s="90"/>
    </row>
    <row r="326" spans="1:254" ht="10.5" customHeight="1" thickBot="1" x14ac:dyDescent="0.3">
      <c r="A326" s="46"/>
      <c r="B326" s="180"/>
      <c r="C326" s="47"/>
      <c r="D326" s="48"/>
      <c r="E326" s="47"/>
      <c r="F326" s="46"/>
      <c r="G326" s="46"/>
      <c r="H326" s="46" t="str">
        <f>IF(G326="","",IF(G326=1,11, IF(G326=2,7,3)))</f>
        <v/>
      </c>
      <c r="I326" s="213" t="str">
        <f>H326</f>
        <v/>
      </c>
      <c r="J326" s="213"/>
      <c r="K326" s="213"/>
      <c r="L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  <c r="HA326" s="90"/>
      <c r="HB326" s="90"/>
      <c r="HC326" s="90"/>
      <c r="HD326" s="90"/>
      <c r="HE326" s="90"/>
      <c r="HF326" s="90"/>
      <c r="HG326" s="90"/>
      <c r="HH326" s="90"/>
      <c r="HI326" s="90"/>
      <c r="HJ326" s="90"/>
      <c r="HK326" s="90"/>
      <c r="HL326" s="90"/>
      <c r="HM326" s="90"/>
      <c r="HN326" s="90"/>
      <c r="HO326" s="90"/>
      <c r="HP326" s="90"/>
      <c r="HQ326" s="90"/>
      <c r="HR326" s="90"/>
      <c r="HS326" s="90"/>
      <c r="HT326" s="90"/>
      <c r="HU326" s="90"/>
      <c r="HV326" s="90"/>
      <c r="HW326" s="90"/>
      <c r="HX326" s="90"/>
      <c r="HY326" s="90"/>
      <c r="HZ326" s="90"/>
      <c r="IA326" s="90"/>
      <c r="IB326" s="90"/>
      <c r="IC326" s="90"/>
      <c r="ID326" s="90"/>
      <c r="IE326" s="90"/>
      <c r="IF326" s="90"/>
      <c r="IG326" s="90"/>
      <c r="IH326" s="90"/>
      <c r="II326" s="90"/>
      <c r="IJ326" s="90"/>
      <c r="IK326" s="90"/>
      <c r="IL326" s="90"/>
      <c r="IM326" s="90"/>
      <c r="IN326" s="90"/>
      <c r="IO326" s="90"/>
      <c r="IP326" s="90"/>
      <c r="IQ326" s="90"/>
      <c r="IR326" s="90"/>
      <c r="IS326" s="90"/>
      <c r="IT326" s="90"/>
    </row>
    <row r="327" spans="1:254" ht="12.95" customHeight="1" thickBot="1" x14ac:dyDescent="0.25">
      <c r="A327" s="67" t="s">
        <v>1</v>
      </c>
      <c r="B327" s="68" t="s">
        <v>20</v>
      </c>
      <c r="C327" s="68" t="s">
        <v>21</v>
      </c>
      <c r="D327" s="340" t="s">
        <v>22</v>
      </c>
      <c r="E327" s="341"/>
      <c r="F327" s="68" t="s">
        <v>23</v>
      </c>
      <c r="G327" s="68" t="s">
        <v>24</v>
      </c>
      <c r="H327" s="158" t="s">
        <v>16</v>
      </c>
      <c r="I327" s="342" t="s">
        <v>16</v>
      </c>
      <c r="J327" s="343"/>
      <c r="K327" s="344"/>
      <c r="L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  <c r="HA327" s="90"/>
      <c r="HB327" s="90"/>
      <c r="HC327" s="90"/>
      <c r="HD327" s="90"/>
      <c r="HE327" s="90"/>
      <c r="HF327" s="90"/>
      <c r="HG327" s="90"/>
      <c r="HH327" s="90"/>
      <c r="HI327" s="90"/>
      <c r="HJ327" s="90"/>
      <c r="HK327" s="90"/>
      <c r="HL327" s="90"/>
      <c r="HM327" s="90"/>
      <c r="HN327" s="90"/>
      <c r="HO327" s="90"/>
      <c r="HP327" s="90"/>
      <c r="HQ327" s="90"/>
      <c r="HR327" s="90"/>
      <c r="HS327" s="90"/>
      <c r="HT327" s="90"/>
      <c r="HU327" s="90"/>
      <c r="HV327" s="90"/>
      <c r="HW327" s="90"/>
      <c r="HX327" s="90"/>
      <c r="HY327" s="90"/>
      <c r="HZ327" s="90"/>
      <c r="IA327" s="90"/>
      <c r="IB327" s="90"/>
      <c r="IC327" s="90"/>
      <c r="ID327" s="90"/>
      <c r="IE327" s="90"/>
      <c r="IF327" s="90"/>
      <c r="IG327" s="90"/>
      <c r="IH327" s="90"/>
      <c r="II327" s="90"/>
      <c r="IJ327" s="90"/>
      <c r="IK327" s="90"/>
      <c r="IL327" s="90"/>
      <c r="IM327" s="90"/>
      <c r="IN327" s="90"/>
      <c r="IO327" s="90"/>
      <c r="IP327" s="90"/>
      <c r="IQ327" s="90"/>
      <c r="IR327" s="90"/>
      <c r="IS327" s="90"/>
      <c r="IT327" s="90"/>
    </row>
    <row r="328" spans="1:254" ht="15.75" x14ac:dyDescent="0.25">
      <c r="A328" s="57"/>
      <c r="B328" s="266" t="str">
        <f>Team2!$C$4</f>
        <v>Lisburn</v>
      </c>
      <c r="C328" s="314">
        <v>4</v>
      </c>
      <c r="D328" s="283" t="str">
        <f>IF(Team2!C34="","",Team2!C34)</f>
        <v>Cillan Hall</v>
      </c>
      <c r="E328" s="284"/>
      <c r="F328" s="285" t="s">
        <v>305</v>
      </c>
      <c r="G328" s="321">
        <v>1</v>
      </c>
      <c r="H328" s="332">
        <f t="shared" ref="H328" si="52">IF(G328="","",IF(G328=1,11, IF(G328=2,7,3)))</f>
        <v>11</v>
      </c>
      <c r="I328" s="329">
        <f>H328</f>
        <v>11</v>
      </c>
      <c r="J328" s="317"/>
      <c r="K328" s="327"/>
      <c r="L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  <c r="HA328" s="90"/>
      <c r="HB328" s="90"/>
      <c r="HC328" s="90"/>
      <c r="HD328" s="90"/>
      <c r="HE328" s="90"/>
      <c r="HF328" s="90"/>
      <c r="HG328" s="90"/>
      <c r="HH328" s="90"/>
      <c r="HI328" s="90"/>
      <c r="HJ328" s="90"/>
      <c r="HK328" s="90"/>
      <c r="HL328" s="90"/>
      <c r="HM328" s="90"/>
      <c r="HN328" s="90"/>
      <c r="HO328" s="90"/>
      <c r="HP328" s="90"/>
      <c r="HQ328" s="90"/>
      <c r="HR328" s="90"/>
      <c r="HS328" s="90"/>
      <c r="HT328" s="90"/>
      <c r="HU328" s="90"/>
      <c r="HV328" s="90"/>
      <c r="HW328" s="90"/>
      <c r="HX328" s="90"/>
      <c r="HY328" s="90"/>
      <c r="HZ328" s="90"/>
      <c r="IA328" s="90"/>
      <c r="IB328" s="90"/>
      <c r="IC328" s="90"/>
      <c r="ID328" s="90"/>
      <c r="IE328" s="90"/>
      <c r="IF328" s="90"/>
      <c r="IG328" s="90"/>
      <c r="IH328" s="90"/>
      <c r="II328" s="90"/>
      <c r="IJ328" s="90"/>
      <c r="IK328" s="90"/>
      <c r="IL328" s="90"/>
      <c r="IM328" s="90"/>
      <c r="IN328" s="90"/>
      <c r="IO328" s="90"/>
      <c r="IP328" s="90"/>
      <c r="IQ328" s="90"/>
      <c r="IR328" s="90"/>
      <c r="IS328" s="90"/>
      <c r="IT328" s="90"/>
    </row>
    <row r="329" spans="1:254" ht="15.75" x14ac:dyDescent="0.25">
      <c r="A329" s="57"/>
      <c r="B329" s="267"/>
      <c r="C329" s="357"/>
      <c r="D329" s="283" t="str">
        <f>IF(Team2!C35="","",Team2!C35)</f>
        <v>Evie Lowry</v>
      </c>
      <c r="E329" s="284"/>
      <c r="F329" s="286"/>
      <c r="G329" s="274"/>
      <c r="H329" s="276"/>
      <c r="I329" s="330"/>
      <c r="J329" s="270"/>
      <c r="K329" s="328"/>
      <c r="L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  <c r="HA329" s="90"/>
      <c r="HB329" s="90"/>
      <c r="HC329" s="90"/>
      <c r="HD329" s="90"/>
      <c r="HE329" s="90"/>
      <c r="HF329" s="90"/>
      <c r="HG329" s="90"/>
      <c r="HH329" s="90"/>
      <c r="HI329" s="90"/>
      <c r="HJ329" s="90"/>
      <c r="HK329" s="90"/>
      <c r="HL329" s="90"/>
      <c r="HM329" s="90"/>
      <c r="HN329" s="90"/>
      <c r="HO329" s="90"/>
      <c r="HP329" s="90"/>
      <c r="HQ329" s="90"/>
      <c r="HR329" s="90"/>
      <c r="HS329" s="90"/>
      <c r="HT329" s="90"/>
      <c r="HU329" s="90"/>
      <c r="HV329" s="90"/>
      <c r="HW329" s="90"/>
      <c r="HX329" s="90"/>
      <c r="HY329" s="90"/>
      <c r="HZ329" s="90"/>
      <c r="IA329" s="90"/>
      <c r="IB329" s="90"/>
      <c r="IC329" s="90"/>
      <c r="ID329" s="90"/>
      <c r="IE329" s="90"/>
      <c r="IF329" s="90"/>
      <c r="IG329" s="90"/>
      <c r="IH329" s="90"/>
      <c r="II329" s="90"/>
      <c r="IJ329" s="90"/>
      <c r="IK329" s="90"/>
      <c r="IL329" s="90"/>
      <c r="IM329" s="90"/>
      <c r="IN329" s="90"/>
      <c r="IO329" s="90"/>
      <c r="IP329" s="90"/>
      <c r="IQ329" s="90"/>
      <c r="IR329" s="90"/>
      <c r="IS329" s="90"/>
      <c r="IT329" s="90"/>
    </row>
    <row r="330" spans="1:254" ht="15.75" x14ac:dyDescent="0.25">
      <c r="A330" s="57"/>
      <c r="B330" s="267"/>
      <c r="C330" s="357"/>
      <c r="D330" s="283" t="str">
        <f>IF(Team2!C36="","",Team2!C36)</f>
        <v>Sinead McQuillan</v>
      </c>
      <c r="E330" s="284"/>
      <c r="F330" s="286"/>
      <c r="G330" s="274"/>
      <c r="H330" s="276"/>
      <c r="I330" s="330"/>
      <c r="J330" s="270"/>
      <c r="K330" s="328"/>
      <c r="L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  <c r="HA330" s="90"/>
      <c r="HB330" s="90"/>
      <c r="HC330" s="90"/>
      <c r="HD330" s="90"/>
      <c r="HE330" s="90"/>
      <c r="HF330" s="90"/>
      <c r="HG330" s="90"/>
      <c r="HH330" s="90"/>
      <c r="HI330" s="90"/>
      <c r="HJ330" s="90"/>
      <c r="HK330" s="90"/>
      <c r="HL330" s="90"/>
      <c r="HM330" s="90"/>
      <c r="HN330" s="90"/>
      <c r="HO330" s="90"/>
      <c r="HP330" s="90"/>
      <c r="HQ330" s="90"/>
      <c r="HR330" s="90"/>
      <c r="HS330" s="90"/>
      <c r="HT330" s="90"/>
      <c r="HU330" s="90"/>
      <c r="HV330" s="90"/>
      <c r="HW330" s="90"/>
      <c r="HX330" s="90"/>
      <c r="HY330" s="90"/>
      <c r="HZ330" s="90"/>
      <c r="IA330" s="90"/>
      <c r="IB330" s="90"/>
      <c r="IC330" s="90"/>
      <c r="ID330" s="90"/>
      <c r="IE330" s="90"/>
      <c r="IF330" s="90"/>
      <c r="IG330" s="90"/>
      <c r="IH330" s="90"/>
      <c r="II330" s="90"/>
      <c r="IJ330" s="90"/>
      <c r="IK330" s="90"/>
      <c r="IL330" s="90"/>
      <c r="IM330" s="90"/>
      <c r="IN330" s="90"/>
      <c r="IO330" s="90"/>
      <c r="IP330" s="90"/>
      <c r="IQ330" s="90"/>
      <c r="IR330" s="90"/>
      <c r="IS330" s="90"/>
      <c r="IT330" s="90"/>
    </row>
    <row r="331" spans="1:254" ht="15" customHeight="1" x14ac:dyDescent="0.2">
      <c r="A331" s="196"/>
      <c r="B331" s="267"/>
      <c r="C331" s="357"/>
      <c r="D331" s="283" t="str">
        <f>IF(Team2!C37="","",Team2!C37)</f>
        <v>Ben Bickerstaffe</v>
      </c>
      <c r="E331" s="284"/>
      <c r="F331" s="287"/>
      <c r="G331" s="275"/>
      <c r="H331" s="333"/>
      <c r="I331" s="331"/>
      <c r="J331" s="318"/>
      <c r="K331" s="328"/>
      <c r="L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  <c r="HA331" s="90"/>
      <c r="HB331" s="90"/>
      <c r="HC331" s="90"/>
      <c r="HD331" s="90"/>
      <c r="HE331" s="90"/>
      <c r="HF331" s="90"/>
      <c r="HG331" s="90"/>
      <c r="HH331" s="90"/>
      <c r="HI331" s="90"/>
      <c r="HJ331" s="90"/>
      <c r="HK331" s="90"/>
      <c r="HL331" s="90"/>
      <c r="HM331" s="90"/>
      <c r="HN331" s="90"/>
      <c r="HO331" s="90"/>
      <c r="HP331" s="90"/>
      <c r="HQ331" s="90"/>
      <c r="HR331" s="90"/>
      <c r="HS331" s="90"/>
      <c r="HT331" s="90"/>
      <c r="HU331" s="90"/>
      <c r="HV331" s="90"/>
      <c r="HW331" s="90"/>
      <c r="HX331" s="90"/>
      <c r="HY331" s="90"/>
      <c r="HZ331" s="90"/>
      <c r="IA331" s="90"/>
      <c r="IB331" s="90"/>
      <c r="IC331" s="90"/>
      <c r="ID331" s="90"/>
      <c r="IE331" s="90"/>
      <c r="IF331" s="90"/>
      <c r="IG331" s="90"/>
      <c r="IH331" s="90"/>
      <c r="II331" s="90"/>
      <c r="IJ331" s="90"/>
      <c r="IK331" s="90"/>
      <c r="IL331" s="90"/>
      <c r="IM331" s="90"/>
      <c r="IN331" s="90"/>
      <c r="IO331" s="90"/>
      <c r="IP331" s="90"/>
      <c r="IQ331" s="90"/>
      <c r="IR331" s="90"/>
      <c r="IS331" s="90"/>
      <c r="IT331" s="90"/>
    </row>
    <row r="332" spans="1:254" ht="15.75" x14ac:dyDescent="0.25">
      <c r="A332" s="58">
        <v>39</v>
      </c>
      <c r="B332" s="358" t="str">
        <f>Team3!$C$4</f>
        <v>Limavady</v>
      </c>
      <c r="C332" s="357">
        <v>3</v>
      </c>
      <c r="D332" s="283" t="s">
        <v>260</v>
      </c>
      <c r="E332" s="284"/>
      <c r="F332" s="289" t="s">
        <v>304</v>
      </c>
      <c r="G332" s="273">
        <v>3</v>
      </c>
      <c r="H332" s="276">
        <f t="shared" ref="H332" si="53">IF(G332="","",IF(G332=1,11, IF(G332=2,7,3)))</f>
        <v>3</v>
      </c>
      <c r="I332" s="277"/>
      <c r="J332" s="280">
        <f>H332</f>
        <v>3</v>
      </c>
      <c r="K332" s="322"/>
      <c r="L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  <c r="HA332" s="90"/>
      <c r="HB332" s="90"/>
      <c r="HC332" s="90"/>
      <c r="HD332" s="90"/>
      <c r="HE332" s="90"/>
      <c r="HF332" s="90"/>
      <c r="HG332" s="90"/>
      <c r="HH332" s="90"/>
      <c r="HI332" s="90"/>
      <c r="HJ332" s="90"/>
      <c r="HK332" s="90"/>
      <c r="HL332" s="90"/>
      <c r="HM332" s="90"/>
      <c r="HN332" s="90"/>
      <c r="HO332" s="90"/>
      <c r="HP332" s="90"/>
      <c r="HQ332" s="90"/>
      <c r="HR332" s="90"/>
      <c r="HS332" s="90"/>
      <c r="HT332" s="90"/>
      <c r="HU332" s="90"/>
      <c r="HV332" s="90"/>
      <c r="HW332" s="90"/>
      <c r="HX332" s="90"/>
      <c r="HY332" s="90"/>
      <c r="HZ332" s="90"/>
      <c r="IA332" s="90"/>
      <c r="IB332" s="90"/>
      <c r="IC332" s="90"/>
      <c r="ID332" s="90"/>
      <c r="IE332" s="90"/>
      <c r="IF332" s="90"/>
      <c r="IG332" s="90"/>
      <c r="IH332" s="90"/>
      <c r="II332" s="90"/>
      <c r="IJ332" s="90"/>
      <c r="IK332" s="90"/>
      <c r="IL332" s="90"/>
      <c r="IM332" s="90"/>
      <c r="IN332" s="90"/>
      <c r="IO332" s="90"/>
      <c r="IP332" s="90"/>
      <c r="IQ332" s="90"/>
      <c r="IR332" s="90"/>
      <c r="IS332" s="90"/>
      <c r="IT332" s="90"/>
    </row>
    <row r="333" spans="1:254" ht="15.75" x14ac:dyDescent="0.25">
      <c r="A333" s="58"/>
      <c r="B333" s="267"/>
      <c r="C333" s="357"/>
      <c r="D333" s="283" t="str">
        <f>IF(Team3!C35="","",Team3!C35)</f>
        <v>Brooke Mc Clamont</v>
      </c>
      <c r="E333" s="284"/>
      <c r="F333" s="286"/>
      <c r="G333" s="274"/>
      <c r="H333" s="276"/>
      <c r="I333" s="278"/>
      <c r="J333" s="281"/>
      <c r="K333" s="323"/>
      <c r="L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  <c r="HA333" s="90"/>
      <c r="HB333" s="90"/>
      <c r="HC333" s="90"/>
      <c r="HD333" s="90"/>
      <c r="HE333" s="90"/>
      <c r="HF333" s="90"/>
      <c r="HG333" s="90"/>
      <c r="HH333" s="90"/>
      <c r="HI333" s="90"/>
      <c r="HJ333" s="90"/>
      <c r="HK333" s="90"/>
      <c r="HL333" s="90"/>
      <c r="HM333" s="90"/>
      <c r="HN333" s="90"/>
      <c r="HO333" s="90"/>
      <c r="HP333" s="90"/>
      <c r="HQ333" s="90"/>
      <c r="HR333" s="90"/>
      <c r="HS333" s="90"/>
      <c r="HT333" s="90"/>
      <c r="HU333" s="90"/>
      <c r="HV333" s="90"/>
      <c r="HW333" s="90"/>
      <c r="HX333" s="90"/>
      <c r="HY333" s="90"/>
      <c r="HZ333" s="90"/>
      <c r="IA333" s="90"/>
      <c r="IB333" s="90"/>
      <c r="IC333" s="90"/>
      <c r="ID333" s="90"/>
      <c r="IE333" s="90"/>
      <c r="IF333" s="90"/>
      <c r="IG333" s="90"/>
      <c r="IH333" s="90"/>
      <c r="II333" s="90"/>
      <c r="IJ333" s="90"/>
      <c r="IK333" s="90"/>
      <c r="IL333" s="90"/>
      <c r="IM333" s="90"/>
      <c r="IN333" s="90"/>
      <c r="IO333" s="90"/>
      <c r="IP333" s="90"/>
      <c r="IQ333" s="90"/>
      <c r="IR333" s="90"/>
      <c r="IS333" s="90"/>
      <c r="IT333" s="90"/>
    </row>
    <row r="334" spans="1:254" ht="15.75" x14ac:dyDescent="0.25">
      <c r="A334" s="58" t="s">
        <v>27</v>
      </c>
      <c r="B334" s="267"/>
      <c r="C334" s="357"/>
      <c r="D334" s="283" t="str">
        <f>IF(Team3!C36="","",Team3!C36)</f>
        <v>Oliver Smith</v>
      </c>
      <c r="E334" s="284"/>
      <c r="F334" s="286"/>
      <c r="G334" s="274"/>
      <c r="H334" s="276"/>
      <c r="I334" s="278"/>
      <c r="J334" s="281"/>
      <c r="K334" s="323"/>
      <c r="L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  <c r="HA334" s="90"/>
      <c r="HB334" s="90"/>
      <c r="HC334" s="90"/>
      <c r="HD334" s="90"/>
      <c r="HE334" s="90"/>
      <c r="HF334" s="90"/>
      <c r="HG334" s="90"/>
      <c r="HH334" s="90"/>
      <c r="HI334" s="90"/>
      <c r="HJ334" s="90"/>
      <c r="HK334" s="90"/>
      <c r="HL334" s="90"/>
      <c r="HM334" s="90"/>
      <c r="HN334" s="90"/>
      <c r="HO334" s="90"/>
      <c r="HP334" s="90"/>
      <c r="HQ334" s="90"/>
      <c r="HR334" s="90"/>
      <c r="HS334" s="90"/>
      <c r="HT334" s="90"/>
      <c r="HU334" s="90"/>
      <c r="HV334" s="90"/>
      <c r="HW334" s="90"/>
      <c r="HX334" s="90"/>
      <c r="HY334" s="90"/>
      <c r="HZ334" s="90"/>
      <c r="IA334" s="90"/>
      <c r="IB334" s="90"/>
      <c r="IC334" s="90"/>
      <c r="ID334" s="90"/>
      <c r="IE334" s="90"/>
      <c r="IF334" s="90"/>
      <c r="IG334" s="90"/>
      <c r="IH334" s="90"/>
      <c r="II334" s="90"/>
      <c r="IJ334" s="90"/>
      <c r="IK334" s="90"/>
      <c r="IL334" s="90"/>
      <c r="IM334" s="90"/>
      <c r="IN334" s="90"/>
      <c r="IO334" s="90"/>
      <c r="IP334" s="90"/>
      <c r="IQ334" s="90"/>
      <c r="IR334" s="90"/>
      <c r="IS334" s="90"/>
      <c r="IT334" s="90"/>
    </row>
    <row r="335" spans="1:254" ht="15.75" x14ac:dyDescent="0.25">
      <c r="A335" s="58"/>
      <c r="B335" s="267"/>
      <c r="C335" s="357"/>
      <c r="D335" s="283" t="s">
        <v>261</v>
      </c>
      <c r="E335" s="284"/>
      <c r="F335" s="287"/>
      <c r="G335" s="275"/>
      <c r="H335" s="276"/>
      <c r="I335" s="279"/>
      <c r="J335" s="282"/>
      <c r="K335" s="324"/>
      <c r="L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  <c r="HA335" s="90"/>
      <c r="HB335" s="90"/>
      <c r="HC335" s="90"/>
      <c r="HD335" s="90"/>
      <c r="HE335" s="90"/>
      <c r="HF335" s="90"/>
      <c r="HG335" s="90"/>
      <c r="HH335" s="90"/>
      <c r="HI335" s="90"/>
      <c r="HJ335" s="90"/>
      <c r="HK335" s="90"/>
      <c r="HL335" s="90"/>
      <c r="HM335" s="90"/>
      <c r="HN335" s="90"/>
      <c r="HO335" s="90"/>
      <c r="HP335" s="90"/>
      <c r="HQ335" s="90"/>
      <c r="HR335" s="90"/>
      <c r="HS335" s="90"/>
      <c r="HT335" s="90"/>
      <c r="HU335" s="90"/>
      <c r="HV335" s="90"/>
      <c r="HW335" s="90"/>
      <c r="HX335" s="90"/>
      <c r="HY335" s="90"/>
      <c r="HZ335" s="90"/>
      <c r="IA335" s="90"/>
      <c r="IB335" s="90"/>
      <c r="IC335" s="90"/>
      <c r="ID335" s="90"/>
      <c r="IE335" s="90"/>
      <c r="IF335" s="90"/>
      <c r="IG335" s="90"/>
      <c r="IH335" s="90"/>
      <c r="II335" s="90"/>
      <c r="IJ335" s="90"/>
      <c r="IK335" s="90"/>
      <c r="IL335" s="90"/>
      <c r="IM335" s="90"/>
      <c r="IN335" s="90"/>
      <c r="IO335" s="90"/>
      <c r="IP335" s="90"/>
      <c r="IQ335" s="90"/>
      <c r="IR335" s="90"/>
      <c r="IS335" s="90"/>
      <c r="IT335" s="90"/>
    </row>
    <row r="336" spans="1:254" ht="15" customHeight="1" x14ac:dyDescent="0.2">
      <c r="A336" s="162"/>
      <c r="B336" s="358" t="str">
        <f>Team1!$C$4</f>
        <v>Coleraine</v>
      </c>
      <c r="C336" s="264">
        <v>5</v>
      </c>
      <c r="D336" s="283" t="str">
        <f>IF(Team1!D34="","",Team1!D34)</f>
        <v xml:space="preserve">Daniel Eakin </v>
      </c>
      <c r="E336" s="284"/>
      <c r="F336" s="289" t="s">
        <v>306</v>
      </c>
      <c r="G336" s="291">
        <v>2</v>
      </c>
      <c r="H336" s="276">
        <f t="shared" ref="H336" si="54">IF(G336="","",IF(G336=1,11, IF(G336=2,7,3)))</f>
        <v>7</v>
      </c>
      <c r="I336" s="294"/>
      <c r="J336" s="269"/>
      <c r="K336" s="308">
        <f>H336</f>
        <v>7</v>
      </c>
      <c r="L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  <c r="HA336" s="90"/>
      <c r="HB336" s="90"/>
      <c r="HC336" s="90"/>
      <c r="HD336" s="90"/>
      <c r="HE336" s="90"/>
      <c r="HF336" s="90"/>
      <c r="HG336" s="90"/>
      <c r="HH336" s="90"/>
      <c r="HI336" s="90"/>
      <c r="HJ336" s="90"/>
      <c r="HK336" s="90"/>
      <c r="HL336" s="90"/>
      <c r="HM336" s="90"/>
      <c r="HN336" s="90"/>
      <c r="HO336" s="90"/>
      <c r="HP336" s="90"/>
      <c r="HQ336" s="90"/>
      <c r="HR336" s="90"/>
      <c r="HS336" s="90"/>
      <c r="HT336" s="90"/>
      <c r="HU336" s="90"/>
      <c r="HV336" s="90"/>
      <c r="HW336" s="90"/>
      <c r="HX336" s="90"/>
      <c r="HY336" s="90"/>
      <c r="HZ336" s="90"/>
      <c r="IA336" s="90"/>
      <c r="IB336" s="90"/>
      <c r="IC336" s="90"/>
      <c r="ID336" s="90"/>
      <c r="IE336" s="90"/>
      <c r="IF336" s="90"/>
      <c r="IG336" s="90"/>
      <c r="IH336" s="90"/>
      <c r="II336" s="90"/>
      <c r="IJ336" s="90"/>
      <c r="IK336" s="90"/>
      <c r="IL336" s="90"/>
      <c r="IM336" s="90"/>
      <c r="IN336" s="90"/>
      <c r="IO336" s="90"/>
      <c r="IP336" s="90"/>
      <c r="IQ336" s="90"/>
      <c r="IR336" s="90"/>
      <c r="IS336" s="90"/>
      <c r="IT336" s="90"/>
    </row>
    <row r="337" spans="1:254" ht="15" customHeight="1" x14ac:dyDescent="0.2">
      <c r="A337" s="162"/>
      <c r="B337" s="267"/>
      <c r="C337" s="264"/>
      <c r="D337" s="283" t="str">
        <f>IF(Team1!D35="","",Team1!D35)</f>
        <v>Eida Greene</v>
      </c>
      <c r="E337" s="284"/>
      <c r="F337" s="286"/>
      <c r="G337" s="274"/>
      <c r="H337" s="276"/>
      <c r="I337" s="295"/>
      <c r="J337" s="270"/>
      <c r="K337" s="309"/>
      <c r="L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  <c r="HA337" s="90"/>
      <c r="HB337" s="90"/>
      <c r="HC337" s="90"/>
      <c r="HD337" s="90"/>
      <c r="HE337" s="90"/>
      <c r="HF337" s="90"/>
      <c r="HG337" s="90"/>
      <c r="HH337" s="90"/>
      <c r="HI337" s="90"/>
      <c r="HJ337" s="90"/>
      <c r="HK337" s="90"/>
      <c r="HL337" s="90"/>
      <c r="HM337" s="90"/>
      <c r="HN337" s="90"/>
      <c r="HO337" s="90"/>
      <c r="HP337" s="90"/>
      <c r="HQ337" s="90"/>
      <c r="HR337" s="90"/>
      <c r="HS337" s="90"/>
      <c r="HT337" s="90"/>
      <c r="HU337" s="90"/>
      <c r="HV337" s="90"/>
      <c r="HW337" s="90"/>
      <c r="HX337" s="90"/>
      <c r="HY337" s="90"/>
      <c r="HZ337" s="90"/>
      <c r="IA337" s="90"/>
      <c r="IB337" s="90"/>
      <c r="IC337" s="90"/>
      <c r="ID337" s="90"/>
      <c r="IE337" s="90"/>
      <c r="IF337" s="90"/>
      <c r="IG337" s="90"/>
      <c r="IH337" s="90"/>
      <c r="II337" s="90"/>
      <c r="IJ337" s="90"/>
      <c r="IK337" s="90"/>
      <c r="IL337" s="90"/>
      <c r="IM337" s="90"/>
      <c r="IN337" s="90"/>
      <c r="IO337" s="90"/>
      <c r="IP337" s="90"/>
      <c r="IQ337" s="90"/>
      <c r="IR337" s="90"/>
      <c r="IS337" s="90"/>
      <c r="IT337" s="90"/>
    </row>
    <row r="338" spans="1:254" ht="15" customHeight="1" x14ac:dyDescent="0.2">
      <c r="A338" s="162"/>
      <c r="B338" s="267"/>
      <c r="C338" s="264"/>
      <c r="D338" s="283" t="str">
        <f>IF(Team1!D36="","",Team1!D36)</f>
        <v>Riona Cassidy</v>
      </c>
      <c r="E338" s="284"/>
      <c r="F338" s="286"/>
      <c r="G338" s="274"/>
      <c r="H338" s="276"/>
      <c r="I338" s="295"/>
      <c r="J338" s="270"/>
      <c r="K338" s="309"/>
      <c r="L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  <c r="HA338" s="90"/>
      <c r="HB338" s="90"/>
      <c r="HC338" s="90"/>
      <c r="HD338" s="90"/>
      <c r="HE338" s="90"/>
      <c r="HF338" s="90"/>
      <c r="HG338" s="90"/>
      <c r="HH338" s="90"/>
      <c r="HI338" s="90"/>
      <c r="HJ338" s="90"/>
      <c r="HK338" s="90"/>
      <c r="HL338" s="90"/>
      <c r="HM338" s="90"/>
      <c r="HN338" s="90"/>
      <c r="HO338" s="90"/>
      <c r="HP338" s="90"/>
      <c r="HQ338" s="90"/>
      <c r="HR338" s="90"/>
      <c r="HS338" s="90"/>
      <c r="HT338" s="90"/>
      <c r="HU338" s="90"/>
      <c r="HV338" s="90"/>
      <c r="HW338" s="90"/>
      <c r="HX338" s="90"/>
      <c r="HY338" s="90"/>
      <c r="HZ338" s="90"/>
      <c r="IA338" s="90"/>
      <c r="IB338" s="90"/>
      <c r="IC338" s="90"/>
      <c r="ID338" s="90"/>
      <c r="IE338" s="90"/>
      <c r="IF338" s="90"/>
      <c r="IG338" s="90"/>
      <c r="IH338" s="90"/>
      <c r="II338" s="90"/>
      <c r="IJ338" s="90"/>
      <c r="IK338" s="90"/>
      <c r="IL338" s="90"/>
      <c r="IM338" s="90"/>
      <c r="IN338" s="90"/>
      <c r="IO338" s="90"/>
      <c r="IP338" s="90"/>
      <c r="IQ338" s="90"/>
      <c r="IR338" s="90"/>
      <c r="IS338" s="90"/>
      <c r="IT338" s="90"/>
    </row>
    <row r="339" spans="1:254" ht="15.75" customHeight="1" thickBot="1" x14ac:dyDescent="0.25">
      <c r="A339" s="51"/>
      <c r="B339" s="359"/>
      <c r="C339" s="288"/>
      <c r="D339" s="311" t="str">
        <f>IF(Team1!D37="","",Team1!D37)</f>
        <v>Kioni Little</v>
      </c>
      <c r="E339" s="312"/>
      <c r="F339" s="290"/>
      <c r="G339" s="292"/>
      <c r="H339" s="293"/>
      <c r="I339" s="296"/>
      <c r="J339" s="271"/>
      <c r="K339" s="310"/>
      <c r="L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  <c r="HA339" s="90"/>
      <c r="HB339" s="90"/>
      <c r="HC339" s="90"/>
      <c r="HD339" s="90"/>
      <c r="HE339" s="90"/>
      <c r="HF339" s="90"/>
      <c r="HG339" s="90"/>
      <c r="HH339" s="90"/>
      <c r="HI339" s="90"/>
      <c r="HJ339" s="90"/>
      <c r="HK339" s="90"/>
      <c r="HL339" s="90"/>
      <c r="HM339" s="90"/>
      <c r="HN339" s="90"/>
      <c r="HO339" s="90"/>
      <c r="HP339" s="90"/>
      <c r="HQ339" s="90"/>
      <c r="HR339" s="90"/>
      <c r="HS339" s="90"/>
      <c r="HT339" s="90"/>
      <c r="HU339" s="90"/>
      <c r="HV339" s="90"/>
      <c r="HW339" s="90"/>
      <c r="HX339" s="90"/>
      <c r="HY339" s="90"/>
      <c r="HZ339" s="90"/>
      <c r="IA339" s="90"/>
      <c r="IB339" s="90"/>
      <c r="IC339" s="90"/>
      <c r="ID339" s="90"/>
      <c r="IE339" s="90"/>
      <c r="IF339" s="90"/>
      <c r="IG339" s="90"/>
      <c r="IH339" s="90"/>
      <c r="II339" s="90"/>
      <c r="IJ339" s="90"/>
      <c r="IK339" s="90"/>
      <c r="IL339" s="90"/>
      <c r="IM339" s="90"/>
      <c r="IN339" s="90"/>
      <c r="IO339" s="90"/>
      <c r="IP339" s="90"/>
      <c r="IQ339" s="90"/>
      <c r="IR339" s="90"/>
      <c r="IS339" s="90"/>
      <c r="IT339" s="90"/>
    </row>
    <row r="340" spans="1:254" ht="15.75" x14ac:dyDescent="0.25">
      <c r="A340" s="49"/>
      <c r="B340" s="266" t="str">
        <f>Team2!$C$4</f>
        <v>Lisburn</v>
      </c>
      <c r="C340" s="314">
        <v>4</v>
      </c>
      <c r="D340" s="334" t="str">
        <f>IF(Team2!G34="","",Team2!G34)</f>
        <v>Tom Keys</v>
      </c>
      <c r="E340" s="335"/>
      <c r="F340" s="360" t="s">
        <v>307</v>
      </c>
      <c r="G340" s="321">
        <v>1</v>
      </c>
      <c r="H340" s="332">
        <f>IF(G340="","",IF(G340=1,11, IF(G340=2,7,3)))</f>
        <v>11</v>
      </c>
      <c r="I340" s="329">
        <f>H340</f>
        <v>11</v>
      </c>
      <c r="J340" s="317"/>
      <c r="K340" s="327"/>
      <c r="L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  <c r="HA340" s="90"/>
      <c r="HB340" s="90"/>
      <c r="HC340" s="90"/>
      <c r="HD340" s="90"/>
      <c r="HE340" s="90"/>
      <c r="HF340" s="90"/>
      <c r="HG340" s="90"/>
      <c r="HH340" s="90"/>
      <c r="HI340" s="90"/>
      <c r="HJ340" s="90"/>
      <c r="HK340" s="90"/>
      <c r="HL340" s="90"/>
      <c r="HM340" s="90"/>
      <c r="HN340" s="90"/>
      <c r="HO340" s="90"/>
      <c r="HP340" s="90"/>
      <c r="HQ340" s="90"/>
      <c r="HR340" s="90"/>
      <c r="HS340" s="90"/>
      <c r="HT340" s="90"/>
      <c r="HU340" s="90"/>
      <c r="HV340" s="90"/>
      <c r="HW340" s="90"/>
      <c r="HX340" s="90"/>
      <c r="HY340" s="90"/>
      <c r="HZ340" s="90"/>
      <c r="IA340" s="90"/>
      <c r="IB340" s="90"/>
      <c r="IC340" s="90"/>
      <c r="ID340" s="90"/>
      <c r="IE340" s="90"/>
      <c r="IF340" s="90"/>
      <c r="IG340" s="90"/>
      <c r="IH340" s="90"/>
      <c r="II340" s="90"/>
      <c r="IJ340" s="90"/>
      <c r="IK340" s="90"/>
      <c r="IL340" s="90"/>
      <c r="IM340" s="90"/>
      <c r="IN340" s="90"/>
      <c r="IO340" s="90"/>
      <c r="IP340" s="90"/>
      <c r="IQ340" s="90"/>
      <c r="IR340" s="90"/>
      <c r="IS340" s="90"/>
      <c r="IT340" s="90"/>
    </row>
    <row r="341" spans="1:254" ht="15.75" x14ac:dyDescent="0.25">
      <c r="A341" s="57"/>
      <c r="B341" s="267"/>
      <c r="C341" s="357"/>
      <c r="D341" s="283" t="str">
        <f>IF(Team2!G35="","",Team2!G35)</f>
        <v xml:space="preserve">Isobel Lamont </v>
      </c>
      <c r="E341" s="284"/>
      <c r="F341" s="361"/>
      <c r="G341" s="274"/>
      <c r="H341" s="276"/>
      <c r="I341" s="330"/>
      <c r="J341" s="270"/>
      <c r="K341" s="328"/>
      <c r="L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  <c r="HA341" s="90"/>
      <c r="HB341" s="90"/>
      <c r="HC341" s="90"/>
      <c r="HD341" s="90"/>
      <c r="HE341" s="90"/>
      <c r="HF341" s="90"/>
      <c r="HG341" s="90"/>
      <c r="HH341" s="90"/>
      <c r="HI341" s="90"/>
      <c r="HJ341" s="90"/>
      <c r="HK341" s="90"/>
      <c r="HL341" s="90"/>
      <c r="HM341" s="90"/>
      <c r="HN341" s="90"/>
      <c r="HO341" s="90"/>
      <c r="HP341" s="90"/>
      <c r="HQ341" s="90"/>
      <c r="HR341" s="90"/>
      <c r="HS341" s="90"/>
      <c r="HT341" s="90"/>
      <c r="HU341" s="90"/>
      <c r="HV341" s="90"/>
      <c r="HW341" s="90"/>
      <c r="HX341" s="90"/>
      <c r="HY341" s="90"/>
      <c r="HZ341" s="90"/>
      <c r="IA341" s="90"/>
      <c r="IB341" s="90"/>
      <c r="IC341" s="90"/>
      <c r="ID341" s="90"/>
      <c r="IE341" s="90"/>
      <c r="IF341" s="90"/>
      <c r="IG341" s="90"/>
      <c r="IH341" s="90"/>
      <c r="II341" s="90"/>
      <c r="IJ341" s="90"/>
      <c r="IK341" s="90"/>
      <c r="IL341" s="90"/>
      <c r="IM341" s="90"/>
      <c r="IN341" s="90"/>
      <c r="IO341" s="90"/>
      <c r="IP341" s="90"/>
      <c r="IQ341" s="90"/>
      <c r="IR341" s="90"/>
      <c r="IS341" s="90"/>
      <c r="IT341" s="90"/>
    </row>
    <row r="342" spans="1:254" ht="15.75" x14ac:dyDescent="0.25">
      <c r="A342" s="57"/>
      <c r="B342" s="267"/>
      <c r="C342" s="357"/>
      <c r="D342" s="283" t="str">
        <f>IF(Team2!G36="","",Team2!G36)</f>
        <v>Emily Coleman</v>
      </c>
      <c r="E342" s="284"/>
      <c r="F342" s="361"/>
      <c r="G342" s="274"/>
      <c r="H342" s="276"/>
      <c r="I342" s="330"/>
      <c r="J342" s="270"/>
      <c r="K342" s="328"/>
      <c r="L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  <c r="HA342" s="90"/>
      <c r="HB342" s="90"/>
      <c r="HC342" s="90"/>
      <c r="HD342" s="90"/>
      <c r="HE342" s="90"/>
      <c r="HF342" s="90"/>
      <c r="HG342" s="90"/>
      <c r="HH342" s="90"/>
      <c r="HI342" s="90"/>
      <c r="HJ342" s="90"/>
      <c r="HK342" s="90"/>
      <c r="HL342" s="90"/>
      <c r="HM342" s="90"/>
      <c r="HN342" s="90"/>
      <c r="HO342" s="90"/>
      <c r="HP342" s="90"/>
      <c r="HQ342" s="90"/>
      <c r="HR342" s="90"/>
      <c r="HS342" s="90"/>
      <c r="HT342" s="90"/>
      <c r="HU342" s="90"/>
      <c r="HV342" s="90"/>
      <c r="HW342" s="90"/>
      <c r="HX342" s="90"/>
      <c r="HY342" s="90"/>
      <c r="HZ342" s="90"/>
      <c r="IA342" s="90"/>
      <c r="IB342" s="90"/>
      <c r="IC342" s="90"/>
      <c r="ID342" s="90"/>
      <c r="IE342" s="90"/>
      <c r="IF342" s="90"/>
      <c r="IG342" s="90"/>
      <c r="IH342" s="90"/>
      <c r="II342" s="90"/>
      <c r="IJ342" s="90"/>
      <c r="IK342" s="90"/>
      <c r="IL342" s="90"/>
      <c r="IM342" s="90"/>
      <c r="IN342" s="90"/>
      <c r="IO342" s="90"/>
      <c r="IP342" s="90"/>
      <c r="IQ342" s="90"/>
      <c r="IR342" s="90"/>
      <c r="IS342" s="90"/>
      <c r="IT342" s="90"/>
    </row>
    <row r="343" spans="1:254" ht="15" customHeight="1" x14ac:dyDescent="0.2">
      <c r="A343" s="196"/>
      <c r="B343" s="267"/>
      <c r="C343" s="357"/>
      <c r="D343" s="283" t="str">
        <f>IF(Team2!G37="","",Team2!G37)</f>
        <v>Alfie Shawe</v>
      </c>
      <c r="E343" s="284"/>
      <c r="F343" s="362"/>
      <c r="G343" s="275"/>
      <c r="H343" s="333"/>
      <c r="I343" s="331"/>
      <c r="J343" s="318"/>
      <c r="K343" s="328"/>
      <c r="L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  <c r="HA343" s="90"/>
      <c r="HB343" s="90"/>
      <c r="HC343" s="90"/>
      <c r="HD343" s="90"/>
      <c r="HE343" s="90"/>
      <c r="HF343" s="90"/>
      <c r="HG343" s="90"/>
      <c r="HH343" s="90"/>
      <c r="HI343" s="90"/>
      <c r="HJ343" s="90"/>
      <c r="HK343" s="90"/>
      <c r="HL343" s="90"/>
      <c r="HM343" s="90"/>
      <c r="HN343" s="90"/>
      <c r="HO343" s="90"/>
      <c r="HP343" s="90"/>
      <c r="HQ343" s="90"/>
      <c r="HR343" s="90"/>
      <c r="HS343" s="90"/>
      <c r="HT343" s="90"/>
      <c r="HU343" s="90"/>
      <c r="HV343" s="90"/>
      <c r="HW343" s="90"/>
      <c r="HX343" s="90"/>
      <c r="HY343" s="90"/>
      <c r="HZ343" s="90"/>
      <c r="IA343" s="90"/>
      <c r="IB343" s="90"/>
      <c r="IC343" s="90"/>
      <c r="ID343" s="90"/>
      <c r="IE343" s="90"/>
      <c r="IF343" s="90"/>
      <c r="IG343" s="90"/>
      <c r="IH343" s="90"/>
      <c r="II343" s="90"/>
      <c r="IJ343" s="90"/>
      <c r="IK343" s="90"/>
      <c r="IL343" s="90"/>
      <c r="IM343" s="90"/>
      <c r="IN343" s="90"/>
      <c r="IO343" s="90"/>
      <c r="IP343" s="90"/>
      <c r="IQ343" s="90"/>
      <c r="IR343" s="90"/>
      <c r="IS343" s="90"/>
      <c r="IT343" s="90"/>
    </row>
    <row r="344" spans="1:254" ht="15.75" x14ac:dyDescent="0.25">
      <c r="A344" s="58">
        <v>40</v>
      </c>
      <c r="B344" s="358" t="str">
        <f>Team3!$C$4</f>
        <v>Limavady</v>
      </c>
      <c r="C344" s="357">
        <v>3</v>
      </c>
      <c r="D344" s="319" t="s">
        <v>268</v>
      </c>
      <c r="E344" s="320"/>
      <c r="F344" s="363" t="s">
        <v>308</v>
      </c>
      <c r="G344" s="273">
        <v>3</v>
      </c>
      <c r="H344" s="276">
        <f t="shared" ref="H344" si="55">IF(G344="","",IF(G344=1,11, IF(G344=2,7,3)))</f>
        <v>3</v>
      </c>
      <c r="I344" s="277"/>
      <c r="J344" s="280">
        <f>H344</f>
        <v>3</v>
      </c>
      <c r="K344" s="322"/>
      <c r="L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  <c r="HA344" s="90"/>
      <c r="HB344" s="90"/>
      <c r="HC344" s="90"/>
      <c r="HD344" s="90"/>
      <c r="HE344" s="90"/>
      <c r="HF344" s="90"/>
      <c r="HG344" s="90"/>
      <c r="HH344" s="90"/>
      <c r="HI344" s="90"/>
      <c r="HJ344" s="90"/>
      <c r="HK344" s="90"/>
      <c r="HL344" s="90"/>
      <c r="HM344" s="90"/>
      <c r="HN344" s="90"/>
      <c r="HO344" s="90"/>
      <c r="HP344" s="90"/>
      <c r="HQ344" s="90"/>
      <c r="HR344" s="90"/>
      <c r="HS344" s="90"/>
      <c r="HT344" s="90"/>
      <c r="HU344" s="90"/>
      <c r="HV344" s="90"/>
      <c r="HW344" s="90"/>
      <c r="HX344" s="90"/>
      <c r="HY344" s="90"/>
      <c r="HZ344" s="90"/>
      <c r="IA344" s="90"/>
      <c r="IB344" s="90"/>
      <c r="IC344" s="90"/>
      <c r="ID344" s="90"/>
      <c r="IE344" s="90"/>
      <c r="IF344" s="90"/>
      <c r="IG344" s="90"/>
      <c r="IH344" s="90"/>
      <c r="II344" s="90"/>
      <c r="IJ344" s="90"/>
      <c r="IK344" s="90"/>
      <c r="IL344" s="90"/>
      <c r="IM344" s="90"/>
      <c r="IN344" s="90"/>
      <c r="IO344" s="90"/>
      <c r="IP344" s="90"/>
      <c r="IQ344" s="90"/>
      <c r="IR344" s="90"/>
      <c r="IS344" s="90"/>
      <c r="IT344" s="90"/>
    </row>
    <row r="345" spans="1:254" ht="15.75" x14ac:dyDescent="0.25">
      <c r="A345" s="58"/>
      <c r="B345" s="267"/>
      <c r="C345" s="357"/>
      <c r="D345" s="319" t="s">
        <v>272</v>
      </c>
      <c r="E345" s="320"/>
      <c r="F345" s="361"/>
      <c r="G345" s="274"/>
      <c r="H345" s="276"/>
      <c r="I345" s="278"/>
      <c r="J345" s="281"/>
      <c r="K345" s="323"/>
      <c r="L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  <c r="HA345" s="90"/>
      <c r="HB345" s="90"/>
      <c r="HC345" s="90"/>
      <c r="HD345" s="90"/>
      <c r="HE345" s="90"/>
      <c r="HF345" s="90"/>
      <c r="HG345" s="90"/>
      <c r="HH345" s="90"/>
      <c r="HI345" s="90"/>
      <c r="HJ345" s="90"/>
      <c r="HK345" s="90"/>
      <c r="HL345" s="90"/>
      <c r="HM345" s="90"/>
      <c r="HN345" s="90"/>
      <c r="HO345" s="90"/>
      <c r="HP345" s="90"/>
      <c r="HQ345" s="90"/>
      <c r="HR345" s="90"/>
      <c r="HS345" s="90"/>
      <c r="HT345" s="90"/>
      <c r="HU345" s="90"/>
      <c r="HV345" s="90"/>
      <c r="HW345" s="90"/>
      <c r="HX345" s="90"/>
      <c r="HY345" s="90"/>
      <c r="HZ345" s="90"/>
      <c r="IA345" s="90"/>
      <c r="IB345" s="90"/>
      <c r="IC345" s="90"/>
      <c r="ID345" s="90"/>
      <c r="IE345" s="90"/>
      <c r="IF345" s="90"/>
      <c r="IG345" s="90"/>
      <c r="IH345" s="90"/>
      <c r="II345" s="90"/>
      <c r="IJ345" s="90"/>
      <c r="IK345" s="90"/>
      <c r="IL345" s="90"/>
      <c r="IM345" s="90"/>
      <c r="IN345" s="90"/>
      <c r="IO345" s="90"/>
      <c r="IP345" s="90"/>
      <c r="IQ345" s="90"/>
      <c r="IR345" s="90"/>
      <c r="IS345" s="90"/>
      <c r="IT345" s="90"/>
    </row>
    <row r="346" spans="1:254" ht="15.75" x14ac:dyDescent="0.25">
      <c r="A346" s="58" t="s">
        <v>28</v>
      </c>
      <c r="B346" s="267"/>
      <c r="C346" s="357"/>
      <c r="D346" s="319" t="str">
        <f>IF(Team3!G36="","",Team3!G36)</f>
        <v>Emily Butcher</v>
      </c>
      <c r="E346" s="320"/>
      <c r="F346" s="361"/>
      <c r="G346" s="274"/>
      <c r="H346" s="276"/>
      <c r="I346" s="278"/>
      <c r="J346" s="281"/>
      <c r="K346" s="323"/>
      <c r="L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  <c r="HA346" s="90"/>
      <c r="HB346" s="90"/>
      <c r="HC346" s="90"/>
      <c r="HD346" s="90"/>
      <c r="HE346" s="90"/>
      <c r="HF346" s="90"/>
      <c r="HG346" s="90"/>
      <c r="HH346" s="90"/>
      <c r="HI346" s="90"/>
      <c r="HJ346" s="90"/>
      <c r="HK346" s="90"/>
      <c r="HL346" s="90"/>
      <c r="HM346" s="90"/>
      <c r="HN346" s="90"/>
      <c r="HO346" s="90"/>
      <c r="HP346" s="90"/>
      <c r="HQ346" s="90"/>
      <c r="HR346" s="90"/>
      <c r="HS346" s="90"/>
      <c r="HT346" s="90"/>
      <c r="HU346" s="90"/>
      <c r="HV346" s="90"/>
      <c r="HW346" s="90"/>
      <c r="HX346" s="90"/>
      <c r="HY346" s="90"/>
      <c r="HZ346" s="90"/>
      <c r="IA346" s="90"/>
      <c r="IB346" s="90"/>
      <c r="IC346" s="90"/>
      <c r="ID346" s="90"/>
      <c r="IE346" s="90"/>
      <c r="IF346" s="90"/>
      <c r="IG346" s="90"/>
      <c r="IH346" s="90"/>
      <c r="II346" s="90"/>
      <c r="IJ346" s="90"/>
      <c r="IK346" s="90"/>
      <c r="IL346" s="90"/>
      <c r="IM346" s="90"/>
      <c r="IN346" s="90"/>
      <c r="IO346" s="90"/>
      <c r="IP346" s="90"/>
      <c r="IQ346" s="90"/>
      <c r="IR346" s="90"/>
      <c r="IS346" s="90"/>
      <c r="IT346" s="90"/>
    </row>
    <row r="347" spans="1:254" ht="15.75" x14ac:dyDescent="0.25">
      <c r="A347" s="58"/>
      <c r="B347" s="267"/>
      <c r="C347" s="357"/>
      <c r="D347" s="319" t="s">
        <v>269</v>
      </c>
      <c r="E347" s="320"/>
      <c r="F347" s="362"/>
      <c r="G347" s="275"/>
      <c r="H347" s="276"/>
      <c r="I347" s="279"/>
      <c r="J347" s="282"/>
      <c r="K347" s="324"/>
      <c r="L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  <c r="HA347" s="90"/>
      <c r="HB347" s="90"/>
      <c r="HC347" s="90"/>
      <c r="HD347" s="90"/>
      <c r="HE347" s="90"/>
      <c r="HF347" s="90"/>
      <c r="HG347" s="90"/>
      <c r="HH347" s="90"/>
      <c r="HI347" s="90"/>
      <c r="HJ347" s="90"/>
      <c r="HK347" s="90"/>
      <c r="HL347" s="90"/>
      <c r="HM347" s="90"/>
      <c r="HN347" s="90"/>
      <c r="HO347" s="90"/>
      <c r="HP347" s="90"/>
      <c r="HQ347" s="90"/>
      <c r="HR347" s="90"/>
      <c r="HS347" s="90"/>
      <c r="HT347" s="90"/>
      <c r="HU347" s="90"/>
      <c r="HV347" s="90"/>
      <c r="HW347" s="90"/>
      <c r="HX347" s="90"/>
      <c r="HY347" s="90"/>
      <c r="HZ347" s="90"/>
      <c r="IA347" s="90"/>
      <c r="IB347" s="90"/>
      <c r="IC347" s="90"/>
      <c r="ID347" s="90"/>
      <c r="IE347" s="90"/>
      <c r="IF347" s="90"/>
      <c r="IG347" s="90"/>
      <c r="IH347" s="90"/>
      <c r="II347" s="90"/>
      <c r="IJ347" s="90"/>
      <c r="IK347" s="90"/>
      <c r="IL347" s="90"/>
      <c r="IM347" s="90"/>
      <c r="IN347" s="90"/>
      <c r="IO347" s="90"/>
      <c r="IP347" s="90"/>
      <c r="IQ347" s="90"/>
      <c r="IR347" s="90"/>
      <c r="IS347" s="90"/>
      <c r="IT347" s="90"/>
    </row>
    <row r="348" spans="1:254" ht="15" customHeight="1" x14ac:dyDescent="0.2">
      <c r="A348" s="162"/>
      <c r="B348" s="358" t="str">
        <f>Team1!$C$4</f>
        <v>Coleraine</v>
      </c>
      <c r="C348" s="264">
        <v>5</v>
      </c>
      <c r="D348" s="283" t="str">
        <f>IF(Team1!H34="","",Team1!H34)</f>
        <v>Emma Price</v>
      </c>
      <c r="E348" s="284"/>
      <c r="F348" s="289"/>
      <c r="G348" s="291">
        <v>2</v>
      </c>
      <c r="H348" s="276">
        <f t="shared" ref="H348" si="56">IF(G348="","",IF(G348=1,11, IF(G348=2,7,3)))</f>
        <v>7</v>
      </c>
      <c r="I348" s="294"/>
      <c r="J348" s="269"/>
      <c r="K348" s="308">
        <f>H348</f>
        <v>7</v>
      </c>
      <c r="L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  <c r="HA348" s="90"/>
      <c r="HB348" s="90"/>
      <c r="HC348" s="90"/>
      <c r="HD348" s="90"/>
      <c r="HE348" s="90"/>
      <c r="HF348" s="90"/>
      <c r="HG348" s="90"/>
      <c r="HH348" s="90"/>
      <c r="HI348" s="90"/>
      <c r="HJ348" s="90"/>
      <c r="HK348" s="90"/>
      <c r="HL348" s="90"/>
      <c r="HM348" s="90"/>
      <c r="HN348" s="90"/>
      <c r="HO348" s="90"/>
      <c r="HP348" s="90"/>
      <c r="HQ348" s="90"/>
      <c r="HR348" s="90"/>
      <c r="HS348" s="90"/>
      <c r="HT348" s="90"/>
      <c r="HU348" s="90"/>
      <c r="HV348" s="90"/>
      <c r="HW348" s="90"/>
      <c r="HX348" s="90"/>
      <c r="HY348" s="90"/>
      <c r="HZ348" s="90"/>
      <c r="IA348" s="90"/>
      <c r="IB348" s="90"/>
      <c r="IC348" s="90"/>
      <c r="ID348" s="90"/>
      <c r="IE348" s="90"/>
      <c r="IF348" s="90"/>
      <c r="IG348" s="90"/>
      <c r="IH348" s="90"/>
      <c r="II348" s="90"/>
      <c r="IJ348" s="90"/>
      <c r="IK348" s="90"/>
      <c r="IL348" s="90"/>
      <c r="IM348" s="90"/>
      <c r="IN348" s="90"/>
      <c r="IO348" s="90"/>
      <c r="IP348" s="90"/>
      <c r="IQ348" s="90"/>
      <c r="IR348" s="90"/>
      <c r="IS348" s="90"/>
      <c r="IT348" s="90"/>
    </row>
    <row r="349" spans="1:254" ht="15" customHeight="1" x14ac:dyDescent="0.2">
      <c r="A349" s="162"/>
      <c r="B349" s="267"/>
      <c r="C349" s="264"/>
      <c r="D349" s="283" t="str">
        <f>IF(Team1!H35="","",Team1!H35)</f>
        <v>Fionnan Duffin</v>
      </c>
      <c r="E349" s="284"/>
      <c r="F349" s="286"/>
      <c r="G349" s="274"/>
      <c r="H349" s="276"/>
      <c r="I349" s="295"/>
      <c r="J349" s="270"/>
      <c r="K349" s="309"/>
      <c r="L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  <c r="HA349" s="90"/>
      <c r="HB349" s="90"/>
      <c r="HC349" s="90"/>
      <c r="HD349" s="90"/>
      <c r="HE349" s="90"/>
      <c r="HF349" s="90"/>
      <c r="HG349" s="90"/>
      <c r="HH349" s="90"/>
      <c r="HI349" s="90"/>
      <c r="HJ349" s="90"/>
      <c r="HK349" s="90"/>
      <c r="HL349" s="90"/>
      <c r="HM349" s="90"/>
      <c r="HN349" s="90"/>
      <c r="HO349" s="90"/>
      <c r="HP349" s="90"/>
      <c r="HQ349" s="90"/>
      <c r="HR349" s="90"/>
      <c r="HS349" s="90"/>
      <c r="HT349" s="90"/>
      <c r="HU349" s="90"/>
      <c r="HV349" s="90"/>
      <c r="HW349" s="90"/>
      <c r="HX349" s="90"/>
      <c r="HY349" s="90"/>
      <c r="HZ349" s="90"/>
      <c r="IA349" s="90"/>
      <c r="IB349" s="90"/>
      <c r="IC349" s="90"/>
      <c r="ID349" s="90"/>
      <c r="IE349" s="90"/>
      <c r="IF349" s="90"/>
      <c r="IG349" s="90"/>
      <c r="IH349" s="90"/>
      <c r="II349" s="90"/>
      <c r="IJ349" s="90"/>
      <c r="IK349" s="90"/>
      <c r="IL349" s="90"/>
      <c r="IM349" s="90"/>
      <c r="IN349" s="90"/>
      <c r="IO349" s="90"/>
      <c r="IP349" s="90"/>
      <c r="IQ349" s="90"/>
      <c r="IR349" s="90"/>
      <c r="IS349" s="90"/>
      <c r="IT349" s="90"/>
    </row>
    <row r="350" spans="1:254" ht="15" customHeight="1" x14ac:dyDescent="0.2">
      <c r="A350" s="162"/>
      <c r="B350" s="267"/>
      <c r="C350" s="264"/>
      <c r="D350" s="283" t="str">
        <f>IF(Team1!H36="","",Team1!H36)</f>
        <v>Isaac Duddy</v>
      </c>
      <c r="E350" s="284"/>
      <c r="F350" s="286"/>
      <c r="G350" s="274"/>
      <c r="H350" s="276"/>
      <c r="I350" s="295"/>
      <c r="J350" s="270"/>
      <c r="K350" s="309"/>
      <c r="L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  <c r="HA350" s="90"/>
      <c r="HB350" s="90"/>
      <c r="HC350" s="90"/>
      <c r="HD350" s="90"/>
      <c r="HE350" s="90"/>
      <c r="HF350" s="90"/>
      <c r="HG350" s="90"/>
      <c r="HH350" s="90"/>
      <c r="HI350" s="90"/>
      <c r="HJ350" s="90"/>
      <c r="HK350" s="90"/>
      <c r="HL350" s="90"/>
      <c r="HM350" s="90"/>
      <c r="HN350" s="90"/>
      <c r="HO350" s="90"/>
      <c r="HP350" s="90"/>
      <c r="HQ350" s="90"/>
      <c r="HR350" s="90"/>
      <c r="HS350" s="90"/>
      <c r="HT350" s="90"/>
      <c r="HU350" s="90"/>
      <c r="HV350" s="90"/>
      <c r="HW350" s="90"/>
      <c r="HX350" s="90"/>
      <c r="HY350" s="90"/>
      <c r="HZ350" s="90"/>
      <c r="IA350" s="90"/>
      <c r="IB350" s="90"/>
      <c r="IC350" s="90"/>
      <c r="ID350" s="90"/>
      <c r="IE350" s="90"/>
      <c r="IF350" s="90"/>
      <c r="IG350" s="90"/>
      <c r="IH350" s="90"/>
      <c r="II350" s="90"/>
      <c r="IJ350" s="90"/>
      <c r="IK350" s="90"/>
      <c r="IL350" s="90"/>
      <c r="IM350" s="90"/>
      <c r="IN350" s="90"/>
      <c r="IO350" s="90"/>
      <c r="IP350" s="90"/>
      <c r="IQ350" s="90"/>
      <c r="IR350" s="90"/>
      <c r="IS350" s="90"/>
      <c r="IT350" s="90"/>
    </row>
    <row r="351" spans="1:254" ht="15.75" customHeight="1" thickBot="1" x14ac:dyDescent="0.25">
      <c r="A351" s="51"/>
      <c r="B351" s="359"/>
      <c r="C351" s="288"/>
      <c r="D351" s="311" t="str">
        <f>IF(Team1!H37="","",Team1!H37)</f>
        <v>Isla McClelland</v>
      </c>
      <c r="E351" s="312"/>
      <c r="F351" s="290"/>
      <c r="G351" s="292"/>
      <c r="H351" s="293"/>
      <c r="I351" s="296"/>
      <c r="J351" s="271"/>
      <c r="K351" s="310"/>
      <c r="L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  <c r="HA351" s="90"/>
      <c r="HB351" s="90"/>
      <c r="HC351" s="90"/>
      <c r="HD351" s="90"/>
      <c r="HE351" s="90"/>
      <c r="HF351" s="90"/>
      <c r="HG351" s="90"/>
      <c r="HH351" s="90"/>
      <c r="HI351" s="90"/>
      <c r="HJ351" s="90"/>
      <c r="HK351" s="90"/>
      <c r="HL351" s="90"/>
      <c r="HM351" s="90"/>
      <c r="HN351" s="90"/>
      <c r="HO351" s="90"/>
      <c r="HP351" s="90"/>
      <c r="HQ351" s="90"/>
      <c r="HR351" s="90"/>
      <c r="HS351" s="90"/>
      <c r="HT351" s="90"/>
      <c r="HU351" s="90"/>
      <c r="HV351" s="90"/>
      <c r="HW351" s="90"/>
      <c r="HX351" s="90"/>
      <c r="HY351" s="90"/>
      <c r="HZ351" s="90"/>
      <c r="IA351" s="90"/>
      <c r="IB351" s="90"/>
      <c r="IC351" s="90"/>
      <c r="ID351" s="90"/>
      <c r="IE351" s="90"/>
      <c r="IF351" s="90"/>
      <c r="IG351" s="90"/>
      <c r="IH351" s="90"/>
      <c r="II351" s="90"/>
      <c r="IJ351" s="90"/>
      <c r="IK351" s="90"/>
      <c r="IL351" s="90"/>
      <c r="IM351" s="90"/>
      <c r="IN351" s="90"/>
      <c r="IO351" s="90"/>
      <c r="IP351" s="90"/>
      <c r="IQ351" s="90"/>
      <c r="IR351" s="90"/>
      <c r="IS351" s="90"/>
      <c r="IT351" s="90"/>
    </row>
    <row r="352" spans="1:254" ht="15.75" x14ac:dyDescent="0.25">
      <c r="A352" s="61"/>
      <c r="B352" s="181"/>
      <c r="C352" s="62"/>
      <c r="D352" s="63"/>
      <c r="E352" s="63"/>
      <c r="F352" s="59"/>
      <c r="G352" s="60" t="s">
        <v>137</v>
      </c>
      <c r="H352" s="60"/>
      <c r="I352" s="216">
        <f>IF(SUM(I328,I340)=0,"",SUM(I328,I340))</f>
        <v>22</v>
      </c>
      <c r="J352" s="217">
        <f>IF(SUM(J332,J344)=0,"",SUM(J332,J344))</f>
        <v>6</v>
      </c>
      <c r="K352" s="218">
        <f>IF(SUM(K336,K348)=0,"",SUM(K336,K348))</f>
        <v>14</v>
      </c>
      <c r="L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  <c r="HA352" s="90"/>
      <c r="HB352" s="90"/>
      <c r="HC352" s="90"/>
      <c r="HD352" s="90"/>
      <c r="HE352" s="90"/>
      <c r="HF352" s="90"/>
      <c r="HG352" s="90"/>
      <c r="HH352" s="90"/>
      <c r="HI352" s="90"/>
      <c r="HJ352" s="90"/>
      <c r="HK352" s="90"/>
      <c r="HL352" s="90"/>
      <c r="HM352" s="90"/>
      <c r="HN352" s="90"/>
      <c r="HO352" s="90"/>
      <c r="HP352" s="90"/>
      <c r="HQ352" s="90"/>
      <c r="HR352" s="90"/>
      <c r="HS352" s="90"/>
      <c r="HT352" s="90"/>
      <c r="HU352" s="90"/>
      <c r="HV352" s="90"/>
      <c r="HW352" s="90"/>
      <c r="HX352" s="90"/>
      <c r="HY352" s="90"/>
      <c r="HZ352" s="90"/>
      <c r="IA352" s="90"/>
      <c r="IB352" s="90"/>
      <c r="IC352" s="90"/>
      <c r="ID352" s="90"/>
      <c r="IE352" s="90"/>
      <c r="IF352" s="90"/>
      <c r="IG352" s="90"/>
      <c r="IH352" s="90"/>
      <c r="II352" s="90"/>
      <c r="IJ352" s="90"/>
      <c r="IK352" s="90"/>
      <c r="IL352" s="90"/>
      <c r="IM352" s="90"/>
      <c r="IN352" s="90"/>
      <c r="IO352" s="90"/>
      <c r="IP352" s="90"/>
      <c r="IQ352" s="90"/>
      <c r="IR352" s="90"/>
      <c r="IS352" s="90"/>
      <c r="IT352" s="90"/>
    </row>
    <row r="353" spans="1:254" ht="15.75" x14ac:dyDescent="0.25">
      <c r="A353" s="61"/>
      <c r="B353" s="181"/>
      <c r="C353" s="62"/>
      <c r="D353" s="63"/>
      <c r="E353" s="63"/>
      <c r="F353" s="62"/>
      <c r="G353" s="64" t="s">
        <v>138</v>
      </c>
      <c r="H353" s="64"/>
      <c r="I353" s="219">
        <f>I323</f>
        <v>302</v>
      </c>
      <c r="J353" s="220">
        <f t="shared" ref="J353:K353" si="57">J323</f>
        <v>240</v>
      </c>
      <c r="K353" s="221">
        <f t="shared" si="57"/>
        <v>256</v>
      </c>
      <c r="L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  <c r="HA353" s="90"/>
      <c r="HB353" s="90"/>
      <c r="HC353" s="90"/>
      <c r="HD353" s="90"/>
      <c r="HE353" s="90"/>
      <c r="HF353" s="90"/>
      <c r="HG353" s="90"/>
      <c r="HH353" s="90"/>
      <c r="HI353" s="90"/>
      <c r="HJ353" s="90"/>
      <c r="HK353" s="90"/>
      <c r="HL353" s="90"/>
      <c r="HM353" s="90"/>
      <c r="HN353" s="90"/>
      <c r="HO353" s="90"/>
      <c r="HP353" s="90"/>
      <c r="HQ353" s="90"/>
      <c r="HR353" s="90"/>
      <c r="HS353" s="90"/>
      <c r="HT353" s="90"/>
      <c r="HU353" s="90"/>
      <c r="HV353" s="90"/>
      <c r="HW353" s="90"/>
      <c r="HX353" s="90"/>
      <c r="HY353" s="90"/>
      <c r="HZ353" s="90"/>
      <c r="IA353" s="90"/>
      <c r="IB353" s="90"/>
      <c r="IC353" s="90"/>
      <c r="ID353" s="90"/>
      <c r="IE353" s="90"/>
      <c r="IF353" s="90"/>
      <c r="IG353" s="90"/>
      <c r="IH353" s="90"/>
      <c r="II353" s="90"/>
      <c r="IJ353" s="90"/>
      <c r="IK353" s="90"/>
      <c r="IL353" s="90"/>
      <c r="IM353" s="90"/>
      <c r="IN353" s="90"/>
      <c r="IO353" s="90"/>
      <c r="IP353" s="90"/>
      <c r="IQ353" s="90"/>
      <c r="IR353" s="90"/>
      <c r="IS353" s="90"/>
      <c r="IT353" s="90"/>
    </row>
    <row r="354" spans="1:254" ht="16.5" thickBot="1" x14ac:dyDescent="0.3">
      <c r="A354" s="65"/>
      <c r="B354" s="180"/>
      <c r="C354" s="46"/>
      <c r="D354" s="48"/>
      <c r="E354" s="48"/>
      <c r="F354" s="46"/>
      <c r="G354" s="66" t="s">
        <v>40</v>
      </c>
      <c r="H354" s="66"/>
      <c r="I354" s="189">
        <f>IF(SUM(I352:I353)=0,"",SUM(I352:I353))</f>
        <v>324</v>
      </c>
      <c r="J354" s="190">
        <f t="shared" ref="J354" si="58">IF(SUM(J352:J353)=0,"",SUM(J352:J353))</f>
        <v>246</v>
      </c>
      <c r="K354" s="191">
        <f t="shared" ref="K354" si="59">IF(SUM(K352:K353)=0,"",SUM(K352:K353))</f>
        <v>270</v>
      </c>
      <c r="L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  <c r="HA354" s="90"/>
      <c r="HB354" s="90"/>
      <c r="HC354" s="90"/>
      <c r="HD354" s="90"/>
      <c r="HE354" s="90"/>
      <c r="HF354" s="90"/>
      <c r="HG354" s="90"/>
      <c r="HH354" s="90"/>
      <c r="HI354" s="90"/>
      <c r="HJ354" s="90"/>
      <c r="HK354" s="90"/>
      <c r="HL354" s="90"/>
      <c r="HM354" s="90"/>
      <c r="HN354" s="90"/>
      <c r="HO354" s="90"/>
      <c r="HP354" s="90"/>
      <c r="HQ354" s="90"/>
      <c r="HR354" s="90"/>
      <c r="HS354" s="90"/>
      <c r="HT354" s="90"/>
      <c r="HU354" s="90"/>
      <c r="HV354" s="90"/>
      <c r="HW354" s="90"/>
      <c r="HX354" s="90"/>
      <c r="HY354" s="90"/>
      <c r="HZ354" s="90"/>
      <c r="IA354" s="90"/>
      <c r="IB354" s="90"/>
      <c r="IC354" s="90"/>
      <c r="ID354" s="90"/>
      <c r="IE354" s="90"/>
      <c r="IF354" s="90"/>
      <c r="IG354" s="90"/>
      <c r="IH354" s="90"/>
      <c r="II354" s="90"/>
      <c r="IJ354" s="90"/>
      <c r="IK354" s="90"/>
      <c r="IL354" s="90"/>
      <c r="IM354" s="90"/>
      <c r="IN354" s="90"/>
      <c r="IO354" s="90"/>
      <c r="IP354" s="90"/>
      <c r="IQ354" s="90"/>
      <c r="IR354" s="90"/>
      <c r="IS354" s="90"/>
      <c r="IT354" s="90"/>
    </row>
  </sheetData>
  <mergeCells count="889">
    <mergeCell ref="B348:B351"/>
    <mergeCell ref="C348:C351"/>
    <mergeCell ref="D348:E348"/>
    <mergeCell ref="F348:F351"/>
    <mergeCell ref="G348:G351"/>
    <mergeCell ref="H348:H351"/>
    <mergeCell ref="I348:I351"/>
    <mergeCell ref="J348:J351"/>
    <mergeCell ref="K348:K351"/>
    <mergeCell ref="D349:E349"/>
    <mergeCell ref="D350:E350"/>
    <mergeCell ref="D351:E351"/>
    <mergeCell ref="B344:B347"/>
    <mergeCell ref="C344:C347"/>
    <mergeCell ref="D344:E344"/>
    <mergeCell ref="F344:F347"/>
    <mergeCell ref="G344:G347"/>
    <mergeCell ref="H344:H347"/>
    <mergeCell ref="I344:I347"/>
    <mergeCell ref="J344:J347"/>
    <mergeCell ref="K344:K347"/>
    <mergeCell ref="D345:E345"/>
    <mergeCell ref="D346:E346"/>
    <mergeCell ref="D347:E347"/>
    <mergeCell ref="B340:B343"/>
    <mergeCell ref="C340:C343"/>
    <mergeCell ref="D340:E340"/>
    <mergeCell ref="F340:F343"/>
    <mergeCell ref="G340:G343"/>
    <mergeCell ref="H340:H343"/>
    <mergeCell ref="I340:I343"/>
    <mergeCell ref="J340:J343"/>
    <mergeCell ref="K340:K343"/>
    <mergeCell ref="D341:E341"/>
    <mergeCell ref="D342:E342"/>
    <mergeCell ref="D343:E343"/>
    <mergeCell ref="B336:B339"/>
    <mergeCell ref="C336:C339"/>
    <mergeCell ref="D336:E336"/>
    <mergeCell ref="F336:F339"/>
    <mergeCell ref="G336:G339"/>
    <mergeCell ref="H336:H339"/>
    <mergeCell ref="I336:I339"/>
    <mergeCell ref="J336:J339"/>
    <mergeCell ref="K336:K339"/>
    <mergeCell ref="D337:E337"/>
    <mergeCell ref="D338:E338"/>
    <mergeCell ref="D339:E339"/>
    <mergeCell ref="B332:B335"/>
    <mergeCell ref="C332:C335"/>
    <mergeCell ref="D332:E332"/>
    <mergeCell ref="F332:F335"/>
    <mergeCell ref="G332:G335"/>
    <mergeCell ref="H332:H335"/>
    <mergeCell ref="I332:I335"/>
    <mergeCell ref="J332:J335"/>
    <mergeCell ref="K332:K335"/>
    <mergeCell ref="D333:E333"/>
    <mergeCell ref="D334:E334"/>
    <mergeCell ref="D335:E335"/>
    <mergeCell ref="A325:K325"/>
    <mergeCell ref="B328:B331"/>
    <mergeCell ref="C328:C331"/>
    <mergeCell ref="D328:E328"/>
    <mergeCell ref="F328:F331"/>
    <mergeCell ref="G328:G331"/>
    <mergeCell ref="H328:H331"/>
    <mergeCell ref="I328:I331"/>
    <mergeCell ref="J328:J331"/>
    <mergeCell ref="K328:K331"/>
    <mergeCell ref="D329:E329"/>
    <mergeCell ref="D330:E330"/>
    <mergeCell ref="D331:E331"/>
    <mergeCell ref="D327:E327"/>
    <mergeCell ref="I327:K327"/>
    <mergeCell ref="B317:B320"/>
    <mergeCell ref="C317:C320"/>
    <mergeCell ref="D317:E317"/>
    <mergeCell ref="F317:F320"/>
    <mergeCell ref="G317:G320"/>
    <mergeCell ref="H317:H320"/>
    <mergeCell ref="I317:I320"/>
    <mergeCell ref="J317:J320"/>
    <mergeCell ref="K317:K320"/>
    <mergeCell ref="D318:E318"/>
    <mergeCell ref="D319:E319"/>
    <mergeCell ref="D320:E320"/>
    <mergeCell ref="B313:B316"/>
    <mergeCell ref="C313:C316"/>
    <mergeCell ref="D313:E313"/>
    <mergeCell ref="F313:F316"/>
    <mergeCell ref="G313:G316"/>
    <mergeCell ref="H313:H316"/>
    <mergeCell ref="I313:I316"/>
    <mergeCell ref="J313:J316"/>
    <mergeCell ref="K313:K316"/>
    <mergeCell ref="D314:E314"/>
    <mergeCell ref="D315:E315"/>
    <mergeCell ref="D316:E316"/>
    <mergeCell ref="B309:B312"/>
    <mergeCell ref="C309:C312"/>
    <mergeCell ref="D309:E309"/>
    <mergeCell ref="F309:F312"/>
    <mergeCell ref="G309:G312"/>
    <mergeCell ref="H309:H312"/>
    <mergeCell ref="I309:I312"/>
    <mergeCell ref="J309:J312"/>
    <mergeCell ref="K309:K312"/>
    <mergeCell ref="D310:E310"/>
    <mergeCell ref="D311:E311"/>
    <mergeCell ref="D312:E312"/>
    <mergeCell ref="B305:B308"/>
    <mergeCell ref="C305:C308"/>
    <mergeCell ref="D305:E305"/>
    <mergeCell ref="F305:F308"/>
    <mergeCell ref="G305:G308"/>
    <mergeCell ref="H305:H308"/>
    <mergeCell ref="I305:I308"/>
    <mergeCell ref="J305:J308"/>
    <mergeCell ref="K305:K308"/>
    <mergeCell ref="D306:E306"/>
    <mergeCell ref="D307:E307"/>
    <mergeCell ref="D308:E308"/>
    <mergeCell ref="B301:B304"/>
    <mergeCell ref="C301:C304"/>
    <mergeCell ref="D301:E301"/>
    <mergeCell ref="F301:F304"/>
    <mergeCell ref="G301:G304"/>
    <mergeCell ref="H301:H304"/>
    <mergeCell ref="I301:I304"/>
    <mergeCell ref="J301:J304"/>
    <mergeCell ref="K301:K304"/>
    <mergeCell ref="D302:E302"/>
    <mergeCell ref="D303:E303"/>
    <mergeCell ref="D304:E304"/>
    <mergeCell ref="A293:K293"/>
    <mergeCell ref="D295:E295"/>
    <mergeCell ref="I295:K295"/>
    <mergeCell ref="B297:B300"/>
    <mergeCell ref="C297:C300"/>
    <mergeCell ref="D297:E297"/>
    <mergeCell ref="F297:F300"/>
    <mergeCell ref="G297:G300"/>
    <mergeCell ref="H297:H300"/>
    <mergeCell ref="I297:I300"/>
    <mergeCell ref="J297:J300"/>
    <mergeCell ref="K297:K300"/>
    <mergeCell ref="D298:E298"/>
    <mergeCell ref="D299:E299"/>
    <mergeCell ref="D300:E300"/>
    <mergeCell ref="B285:B286"/>
    <mergeCell ref="D285:E285"/>
    <mergeCell ref="I285:I286"/>
    <mergeCell ref="J285:J286"/>
    <mergeCell ref="K285:K286"/>
    <mergeCell ref="D286:E286"/>
    <mergeCell ref="B287:B288"/>
    <mergeCell ref="D287:E287"/>
    <mergeCell ref="I287:I288"/>
    <mergeCell ref="J287:J288"/>
    <mergeCell ref="K287:K288"/>
    <mergeCell ref="D288:E288"/>
    <mergeCell ref="B281:B282"/>
    <mergeCell ref="D281:E281"/>
    <mergeCell ref="I281:I282"/>
    <mergeCell ref="J281:J282"/>
    <mergeCell ref="K281:K282"/>
    <mergeCell ref="D282:E282"/>
    <mergeCell ref="B283:B284"/>
    <mergeCell ref="D283:E283"/>
    <mergeCell ref="I283:I284"/>
    <mergeCell ref="J283:J284"/>
    <mergeCell ref="K283:K284"/>
    <mergeCell ref="D284:E284"/>
    <mergeCell ref="B277:B278"/>
    <mergeCell ref="D277:E277"/>
    <mergeCell ref="I277:I278"/>
    <mergeCell ref="J277:J278"/>
    <mergeCell ref="K277:K278"/>
    <mergeCell ref="D278:E278"/>
    <mergeCell ref="B279:B280"/>
    <mergeCell ref="D279:E279"/>
    <mergeCell ref="I279:I280"/>
    <mergeCell ref="J279:J280"/>
    <mergeCell ref="K279:K280"/>
    <mergeCell ref="D280:E280"/>
    <mergeCell ref="B273:B274"/>
    <mergeCell ref="D273:E273"/>
    <mergeCell ref="I273:I274"/>
    <mergeCell ref="J273:J274"/>
    <mergeCell ref="K273:K274"/>
    <mergeCell ref="D274:E274"/>
    <mergeCell ref="B275:B276"/>
    <mergeCell ref="D275:E275"/>
    <mergeCell ref="I275:I276"/>
    <mergeCell ref="J275:J276"/>
    <mergeCell ref="K275:K276"/>
    <mergeCell ref="D276:E276"/>
    <mergeCell ref="B269:B270"/>
    <mergeCell ref="D269:E269"/>
    <mergeCell ref="I269:I270"/>
    <mergeCell ref="J269:J270"/>
    <mergeCell ref="K269:K270"/>
    <mergeCell ref="D270:E270"/>
    <mergeCell ref="B271:B272"/>
    <mergeCell ref="D271:E271"/>
    <mergeCell ref="I271:I272"/>
    <mergeCell ref="J271:J272"/>
    <mergeCell ref="K271:K272"/>
    <mergeCell ref="D272:E272"/>
    <mergeCell ref="B265:B266"/>
    <mergeCell ref="D265:E265"/>
    <mergeCell ref="I265:I266"/>
    <mergeCell ref="J265:J266"/>
    <mergeCell ref="K265:K266"/>
    <mergeCell ref="D266:E266"/>
    <mergeCell ref="B267:B268"/>
    <mergeCell ref="D267:E267"/>
    <mergeCell ref="I267:I268"/>
    <mergeCell ref="J267:J268"/>
    <mergeCell ref="K267:K268"/>
    <mergeCell ref="D268:E268"/>
    <mergeCell ref="B259:B260"/>
    <mergeCell ref="I259:I260"/>
    <mergeCell ref="J259:J260"/>
    <mergeCell ref="K259:K260"/>
    <mergeCell ref="B261:B262"/>
    <mergeCell ref="I261:I262"/>
    <mergeCell ref="J261:J262"/>
    <mergeCell ref="K261:K262"/>
    <mergeCell ref="B263:B264"/>
    <mergeCell ref="I263:I264"/>
    <mergeCell ref="J263:J264"/>
    <mergeCell ref="K263:K264"/>
    <mergeCell ref="D264:E264"/>
    <mergeCell ref="D260:E260"/>
    <mergeCell ref="D262:E262"/>
    <mergeCell ref="D263:E263"/>
    <mergeCell ref="D261:E261"/>
    <mergeCell ref="D259:E259"/>
    <mergeCell ref="B253:B254"/>
    <mergeCell ref="I253:I254"/>
    <mergeCell ref="J253:J254"/>
    <mergeCell ref="K253:K254"/>
    <mergeCell ref="B255:B256"/>
    <mergeCell ref="I255:I256"/>
    <mergeCell ref="J255:J256"/>
    <mergeCell ref="K255:K256"/>
    <mergeCell ref="B257:B258"/>
    <mergeCell ref="I257:I258"/>
    <mergeCell ref="J257:J258"/>
    <mergeCell ref="K257:K258"/>
    <mergeCell ref="D256:E256"/>
    <mergeCell ref="D258:E258"/>
    <mergeCell ref="D254:E254"/>
    <mergeCell ref="D257:E257"/>
    <mergeCell ref="D255:E255"/>
    <mergeCell ref="D253:E253"/>
    <mergeCell ref="B249:B250"/>
    <mergeCell ref="I249:I250"/>
    <mergeCell ref="J249:J250"/>
    <mergeCell ref="K249:K250"/>
    <mergeCell ref="B251:B252"/>
    <mergeCell ref="I251:I252"/>
    <mergeCell ref="J251:J252"/>
    <mergeCell ref="K251:K252"/>
    <mergeCell ref="D248:E248"/>
    <mergeCell ref="D252:E252"/>
    <mergeCell ref="D249:E249"/>
    <mergeCell ref="D250:E250"/>
    <mergeCell ref="D251:E251"/>
    <mergeCell ref="B243:B244"/>
    <mergeCell ref="I243:I244"/>
    <mergeCell ref="J243:J244"/>
    <mergeCell ref="K243:K244"/>
    <mergeCell ref="B245:B246"/>
    <mergeCell ref="I245:I246"/>
    <mergeCell ref="J245:J246"/>
    <mergeCell ref="K245:K246"/>
    <mergeCell ref="B247:B248"/>
    <mergeCell ref="I247:I248"/>
    <mergeCell ref="J247:J248"/>
    <mergeCell ref="K247:K248"/>
    <mergeCell ref="D246:E246"/>
    <mergeCell ref="D247:E247"/>
    <mergeCell ref="D245:E245"/>
    <mergeCell ref="D244:E244"/>
    <mergeCell ref="D243:E243"/>
    <mergeCell ref="J210:J211"/>
    <mergeCell ref="J212:J213"/>
    <mergeCell ref="J214:J215"/>
    <mergeCell ref="J216:J217"/>
    <mergeCell ref="I214:I215"/>
    <mergeCell ref="K216:K217"/>
    <mergeCell ref="K210:K211"/>
    <mergeCell ref="I210:I211"/>
    <mergeCell ref="K212:K213"/>
    <mergeCell ref="I212:I213"/>
    <mergeCell ref="K214:K215"/>
    <mergeCell ref="B188:B189"/>
    <mergeCell ref="B186:B187"/>
    <mergeCell ref="I206:I207"/>
    <mergeCell ref="J206:J207"/>
    <mergeCell ref="K206:K207"/>
    <mergeCell ref="B208:B209"/>
    <mergeCell ref="I208:I209"/>
    <mergeCell ref="J208:J209"/>
    <mergeCell ref="K208:K209"/>
    <mergeCell ref="D208:E208"/>
    <mergeCell ref="D207:E207"/>
    <mergeCell ref="I204:I205"/>
    <mergeCell ref="J204:J205"/>
    <mergeCell ref="K204:K205"/>
    <mergeCell ref="D205:E205"/>
    <mergeCell ref="I198:I199"/>
    <mergeCell ref="J188:J189"/>
    <mergeCell ref="J190:J191"/>
    <mergeCell ref="J192:J193"/>
    <mergeCell ref="J194:J195"/>
    <mergeCell ref="J196:J197"/>
    <mergeCell ref="K196:K197"/>
    <mergeCell ref="I194:I195"/>
    <mergeCell ref="K192:K193"/>
    <mergeCell ref="D187:E187"/>
    <mergeCell ref="D186:E186"/>
    <mergeCell ref="I202:I203"/>
    <mergeCell ref="J202:J203"/>
    <mergeCell ref="K202:K203"/>
    <mergeCell ref="D203:E203"/>
    <mergeCell ref="I161:I162"/>
    <mergeCell ref="J161:J162"/>
    <mergeCell ref="K161:K162"/>
    <mergeCell ref="D162:E162"/>
    <mergeCell ref="I167:I168"/>
    <mergeCell ref="J167:J168"/>
    <mergeCell ref="K167:K168"/>
    <mergeCell ref="I169:I170"/>
    <mergeCell ref="J169:J170"/>
    <mergeCell ref="K169:K170"/>
    <mergeCell ref="D169:E169"/>
    <mergeCell ref="D161:E161"/>
    <mergeCell ref="B169:B170"/>
    <mergeCell ref="I177:I178"/>
    <mergeCell ref="J177:J178"/>
    <mergeCell ref="K177:K178"/>
    <mergeCell ref="I173:I174"/>
    <mergeCell ref="I163:I164"/>
    <mergeCell ref="J163:J164"/>
    <mergeCell ref="K163:K164"/>
    <mergeCell ref="D164:E164"/>
    <mergeCell ref="D175:E175"/>
    <mergeCell ref="D176:E176"/>
    <mergeCell ref="D165:E165"/>
    <mergeCell ref="D163:E163"/>
    <mergeCell ref="D167:E167"/>
    <mergeCell ref="I171:I172"/>
    <mergeCell ref="J171:J172"/>
    <mergeCell ref="K171:K172"/>
    <mergeCell ref="I165:I166"/>
    <mergeCell ref="J165:J166"/>
    <mergeCell ref="K165:K166"/>
    <mergeCell ref="J151:J152"/>
    <mergeCell ref="K151:K152"/>
    <mergeCell ref="B153:B154"/>
    <mergeCell ref="I153:I154"/>
    <mergeCell ref="J153:J154"/>
    <mergeCell ref="K153:K154"/>
    <mergeCell ref="D152:E152"/>
    <mergeCell ref="D151:E151"/>
    <mergeCell ref="B151:B152"/>
    <mergeCell ref="I145:I146"/>
    <mergeCell ref="J145:J146"/>
    <mergeCell ref="K145:K146"/>
    <mergeCell ref="D147:E147"/>
    <mergeCell ref="B159:B160"/>
    <mergeCell ref="I159:I160"/>
    <mergeCell ref="J159:J160"/>
    <mergeCell ref="K159:K160"/>
    <mergeCell ref="D157:E157"/>
    <mergeCell ref="I149:I150"/>
    <mergeCell ref="J149:J150"/>
    <mergeCell ref="K149:K150"/>
    <mergeCell ref="D159:E159"/>
    <mergeCell ref="D160:E160"/>
    <mergeCell ref="D158:E158"/>
    <mergeCell ref="D155:E155"/>
    <mergeCell ref="K155:K156"/>
    <mergeCell ref="I155:I156"/>
    <mergeCell ref="J155:J156"/>
    <mergeCell ref="D154:E154"/>
    <mergeCell ref="I157:I158"/>
    <mergeCell ref="J157:J158"/>
    <mergeCell ref="K157:K158"/>
    <mergeCell ref="I151:I152"/>
    <mergeCell ref="D229:E229"/>
    <mergeCell ref="D228:E228"/>
    <mergeCell ref="A238:K238"/>
    <mergeCell ref="D240:E240"/>
    <mergeCell ref="B216:B217"/>
    <mergeCell ref="K186:K187"/>
    <mergeCell ref="I188:I189"/>
    <mergeCell ref="J228:J229"/>
    <mergeCell ref="I224:I225"/>
    <mergeCell ref="I192:I193"/>
    <mergeCell ref="K194:K195"/>
    <mergeCell ref="I196:I197"/>
    <mergeCell ref="K198:K199"/>
    <mergeCell ref="I186:I187"/>
    <mergeCell ref="B200:B201"/>
    <mergeCell ref="D200:E200"/>
    <mergeCell ref="I200:I201"/>
    <mergeCell ref="J200:J201"/>
    <mergeCell ref="K200:K201"/>
    <mergeCell ref="D201:E201"/>
    <mergeCell ref="D199:E199"/>
    <mergeCell ref="J198:J199"/>
    <mergeCell ref="B204:B205"/>
    <mergeCell ref="D204:E204"/>
    <mergeCell ref="I220:I221"/>
    <mergeCell ref="K226:K227"/>
    <mergeCell ref="I230:I231"/>
    <mergeCell ref="K232:K233"/>
    <mergeCell ref="J230:J231"/>
    <mergeCell ref="J232:J233"/>
    <mergeCell ref="K222:K223"/>
    <mergeCell ref="K220:K221"/>
    <mergeCell ref="I222:I223"/>
    <mergeCell ref="J220:J221"/>
    <mergeCell ref="I228:I229"/>
    <mergeCell ref="I232:I233"/>
    <mergeCell ref="D224:E224"/>
    <mergeCell ref="D221:E221"/>
    <mergeCell ref="D231:E231"/>
    <mergeCell ref="D206:E206"/>
    <mergeCell ref="B76:B77"/>
    <mergeCell ref="D82:E82"/>
    <mergeCell ref="D81:E81"/>
    <mergeCell ref="D138:E138"/>
    <mergeCell ref="D139:E139"/>
    <mergeCell ref="B155:B156"/>
    <mergeCell ref="B157:B158"/>
    <mergeCell ref="B161:B162"/>
    <mergeCell ref="B139:B140"/>
    <mergeCell ref="B165:B166"/>
    <mergeCell ref="B177:B178"/>
    <mergeCell ref="B175:B176"/>
    <mergeCell ref="B171:B172"/>
    <mergeCell ref="B173:B174"/>
    <mergeCell ref="B149:B150"/>
    <mergeCell ref="B163:B164"/>
    <mergeCell ref="B167:B168"/>
    <mergeCell ref="D103:E103"/>
    <mergeCell ref="D222:E222"/>
    <mergeCell ref="D225:E225"/>
    <mergeCell ref="D100:E100"/>
    <mergeCell ref="K116:K117"/>
    <mergeCell ref="K108:K109"/>
    <mergeCell ref="D101:E101"/>
    <mergeCell ref="K110:K111"/>
    <mergeCell ref="B120:B121"/>
    <mergeCell ref="B104:B105"/>
    <mergeCell ref="D102:E102"/>
    <mergeCell ref="B214:B215"/>
    <mergeCell ref="B192:B193"/>
    <mergeCell ref="K122:K123"/>
    <mergeCell ref="B116:B117"/>
    <mergeCell ref="J120:J121"/>
    <mergeCell ref="D107:E107"/>
    <mergeCell ref="D120:E120"/>
    <mergeCell ref="D121:E121"/>
    <mergeCell ref="D108:E108"/>
    <mergeCell ref="D109:E109"/>
    <mergeCell ref="D114:E114"/>
    <mergeCell ref="D115:E115"/>
    <mergeCell ref="K118:K119"/>
    <mergeCell ref="B102:B103"/>
    <mergeCell ref="K102:K103"/>
    <mergeCell ref="K120:K121"/>
    <mergeCell ref="B135:B136"/>
    <mergeCell ref="B141:B142"/>
    <mergeCell ref="I130:K130"/>
    <mergeCell ref="J110:J111"/>
    <mergeCell ref="J112:J113"/>
    <mergeCell ref="I114:I115"/>
    <mergeCell ref="J114:J115"/>
    <mergeCell ref="I112:I113"/>
    <mergeCell ref="J122:J123"/>
    <mergeCell ref="I122:I123"/>
    <mergeCell ref="I116:I117"/>
    <mergeCell ref="J116:J117"/>
    <mergeCell ref="D122:E122"/>
    <mergeCell ref="B133:B134"/>
    <mergeCell ref="A128:K128"/>
    <mergeCell ref="B137:B138"/>
    <mergeCell ref="J137:J138"/>
    <mergeCell ref="K137:K138"/>
    <mergeCell ref="I139:I140"/>
    <mergeCell ref="I131:I132"/>
    <mergeCell ref="J131:J132"/>
    <mergeCell ref="D131:E131"/>
    <mergeCell ref="D141:E141"/>
    <mergeCell ref="D142:E142"/>
    <mergeCell ref="B143:B144"/>
    <mergeCell ref="D104:E104"/>
    <mergeCell ref="D105:E105"/>
    <mergeCell ref="D113:E113"/>
    <mergeCell ref="B145:B146"/>
    <mergeCell ref="D156:E156"/>
    <mergeCell ref="D130:E130"/>
    <mergeCell ref="D135:E135"/>
    <mergeCell ref="D145:E145"/>
    <mergeCell ref="B131:B132"/>
    <mergeCell ref="D137:E137"/>
    <mergeCell ref="D146:E146"/>
    <mergeCell ref="D136:E136"/>
    <mergeCell ref="B108:B109"/>
    <mergeCell ref="B114:B115"/>
    <mergeCell ref="D111:E111"/>
    <mergeCell ref="D106:E106"/>
    <mergeCell ref="D118:E118"/>
    <mergeCell ref="D119:E119"/>
    <mergeCell ref="B122:B123"/>
    <mergeCell ref="D117:E117"/>
    <mergeCell ref="D149:E149"/>
    <mergeCell ref="D150:E150"/>
    <mergeCell ref="D148:E148"/>
    <mergeCell ref="D12:E12"/>
    <mergeCell ref="K57:K60"/>
    <mergeCell ref="F61:F64"/>
    <mergeCell ref="D178:E178"/>
    <mergeCell ref="G14:G17"/>
    <mergeCell ref="H14:H17"/>
    <mergeCell ref="H22:H25"/>
    <mergeCell ref="H57:H60"/>
    <mergeCell ref="K80:K81"/>
    <mergeCell ref="I82:I83"/>
    <mergeCell ref="K84:K85"/>
    <mergeCell ref="I88:I89"/>
    <mergeCell ref="K92:K93"/>
    <mergeCell ref="I94:I95"/>
    <mergeCell ref="K98:K99"/>
    <mergeCell ref="I100:I101"/>
    <mergeCell ref="D66:E66"/>
    <mergeCell ref="D63:E63"/>
    <mergeCell ref="D110:E110"/>
    <mergeCell ref="I14:I17"/>
    <mergeCell ref="H65:H68"/>
    <mergeCell ref="I76:I77"/>
    <mergeCell ref="K114:K115"/>
    <mergeCell ref="D140:E140"/>
    <mergeCell ref="D213:E213"/>
    <mergeCell ref="D212:E212"/>
    <mergeCell ref="B22:B25"/>
    <mergeCell ref="K76:K77"/>
    <mergeCell ref="D188:E188"/>
    <mergeCell ref="B118:B119"/>
    <mergeCell ref="D98:E98"/>
    <mergeCell ref="J80:J81"/>
    <mergeCell ref="J76:J77"/>
    <mergeCell ref="J78:J79"/>
    <mergeCell ref="D86:E86"/>
    <mergeCell ref="B86:B87"/>
    <mergeCell ref="K188:K189"/>
    <mergeCell ref="I57:I60"/>
    <mergeCell ref="B212:B213"/>
    <mergeCell ref="D153:E153"/>
    <mergeCell ref="D75:E75"/>
    <mergeCell ref="H61:H64"/>
    <mergeCell ref="B198:B199"/>
    <mergeCell ref="K173:K174"/>
    <mergeCell ref="I175:I176"/>
    <mergeCell ref="J175:J176"/>
    <mergeCell ref="K175:K176"/>
    <mergeCell ref="B147:B148"/>
    <mergeCell ref="I133:I134"/>
    <mergeCell ref="K131:K132"/>
    <mergeCell ref="J139:J140"/>
    <mergeCell ref="K139:K140"/>
    <mergeCell ref="I141:I142"/>
    <mergeCell ref="I147:I148"/>
    <mergeCell ref="D133:E133"/>
    <mergeCell ref="J133:J134"/>
    <mergeCell ref="K133:K134"/>
    <mergeCell ref="D134:E134"/>
    <mergeCell ref="D132:E132"/>
    <mergeCell ref="I137:I138"/>
    <mergeCell ref="I135:I136"/>
    <mergeCell ref="J135:J136"/>
    <mergeCell ref="K135:K136"/>
    <mergeCell ref="J147:J148"/>
    <mergeCell ref="K147:K148"/>
    <mergeCell ref="J143:J144"/>
    <mergeCell ref="K143:K144"/>
    <mergeCell ref="D144:E144"/>
    <mergeCell ref="D143:E143"/>
    <mergeCell ref="J141:J142"/>
    <mergeCell ref="K141:K142"/>
    <mergeCell ref="I143:I144"/>
    <mergeCell ref="B110:B111"/>
    <mergeCell ref="K90:K91"/>
    <mergeCell ref="J92:J93"/>
    <mergeCell ref="B106:B107"/>
    <mergeCell ref="I106:I107"/>
    <mergeCell ref="D90:E90"/>
    <mergeCell ref="D91:E91"/>
    <mergeCell ref="K106:K107"/>
    <mergeCell ref="B57:B60"/>
    <mergeCell ref="K61:K64"/>
    <mergeCell ref="I61:I64"/>
    <mergeCell ref="I75:K75"/>
    <mergeCell ref="D57:E57"/>
    <mergeCell ref="B61:B64"/>
    <mergeCell ref="D58:E58"/>
    <mergeCell ref="J102:J103"/>
    <mergeCell ref="A73:K73"/>
    <mergeCell ref="B100:B101"/>
    <mergeCell ref="D94:E94"/>
    <mergeCell ref="D93:E93"/>
    <mergeCell ref="J106:J107"/>
    <mergeCell ref="I108:I109"/>
    <mergeCell ref="J108:J109"/>
    <mergeCell ref="J100:J101"/>
    <mergeCell ref="B4:I4"/>
    <mergeCell ref="B98:B99"/>
    <mergeCell ref="B92:B93"/>
    <mergeCell ref="B14:B17"/>
    <mergeCell ref="A10:K10"/>
    <mergeCell ref="F14:F17"/>
    <mergeCell ref="D16:E16"/>
    <mergeCell ref="I12:K12"/>
    <mergeCell ref="K112:K113"/>
    <mergeCell ref="I110:I111"/>
    <mergeCell ref="I102:I103"/>
    <mergeCell ref="D23:E23"/>
    <mergeCell ref="B84:B85"/>
    <mergeCell ref="B65:B68"/>
    <mergeCell ref="K88:K89"/>
    <mergeCell ref="I84:I85"/>
    <mergeCell ref="D22:E22"/>
    <mergeCell ref="B112:B113"/>
    <mergeCell ref="K96:K97"/>
    <mergeCell ref="J98:J99"/>
    <mergeCell ref="I104:I105"/>
    <mergeCell ref="J104:J105"/>
    <mergeCell ref="K104:K105"/>
    <mergeCell ref="K94:K95"/>
    <mergeCell ref="I240:K240"/>
    <mergeCell ref="B241:B242"/>
    <mergeCell ref="J226:J227"/>
    <mergeCell ref="B222:B223"/>
    <mergeCell ref="B226:B227"/>
    <mergeCell ref="D227:E227"/>
    <mergeCell ref="B224:B225"/>
    <mergeCell ref="J241:J242"/>
    <mergeCell ref="K224:K225"/>
    <mergeCell ref="I226:I227"/>
    <mergeCell ref="K228:K229"/>
    <mergeCell ref="K230:K231"/>
    <mergeCell ref="K241:K242"/>
    <mergeCell ref="D226:E226"/>
    <mergeCell ref="J224:J225"/>
    <mergeCell ref="I241:I242"/>
    <mergeCell ref="B232:B233"/>
    <mergeCell ref="B230:B231"/>
    <mergeCell ref="D230:E230"/>
    <mergeCell ref="D232:E232"/>
    <mergeCell ref="D242:E242"/>
    <mergeCell ref="D233:E233"/>
    <mergeCell ref="D241:E241"/>
    <mergeCell ref="B228:B229"/>
    <mergeCell ref="K218:K219"/>
    <mergeCell ref="I216:I217"/>
    <mergeCell ref="D214:E214"/>
    <mergeCell ref="J173:J174"/>
    <mergeCell ref="K190:K191"/>
    <mergeCell ref="I190:I191"/>
    <mergeCell ref="D223:E223"/>
    <mergeCell ref="D174:E174"/>
    <mergeCell ref="D166:E166"/>
    <mergeCell ref="D172:E172"/>
    <mergeCell ref="D170:E170"/>
    <mergeCell ref="J222:J223"/>
    <mergeCell ref="D198:E198"/>
    <mergeCell ref="D194:E194"/>
    <mergeCell ref="D220:E220"/>
    <mergeCell ref="D219:E219"/>
    <mergeCell ref="D217:E217"/>
    <mergeCell ref="D216:E216"/>
    <mergeCell ref="D215:E215"/>
    <mergeCell ref="D218:E218"/>
    <mergeCell ref="I218:I219"/>
    <mergeCell ref="J218:J219"/>
    <mergeCell ref="J186:J187"/>
    <mergeCell ref="D211:E211"/>
    <mergeCell ref="B210:B211"/>
    <mergeCell ref="D168:E168"/>
    <mergeCell ref="D173:E173"/>
    <mergeCell ref="D177:E177"/>
    <mergeCell ref="D196:E196"/>
    <mergeCell ref="B194:B195"/>
    <mergeCell ref="D193:E193"/>
    <mergeCell ref="D189:E189"/>
    <mergeCell ref="D185:E185"/>
    <mergeCell ref="B196:B197"/>
    <mergeCell ref="B190:B191"/>
    <mergeCell ref="B202:B203"/>
    <mergeCell ref="D202:E202"/>
    <mergeCell ref="B206:B207"/>
    <mergeCell ref="D195:E195"/>
    <mergeCell ref="D192:E192"/>
    <mergeCell ref="D171:E171"/>
    <mergeCell ref="D209:E209"/>
    <mergeCell ref="D210:E210"/>
    <mergeCell ref="D197:E197"/>
    <mergeCell ref="D191:E191"/>
    <mergeCell ref="D190:E190"/>
    <mergeCell ref="A183:K183"/>
    <mergeCell ref="I185:K185"/>
    <mergeCell ref="J118:J119"/>
    <mergeCell ref="I118:I119"/>
    <mergeCell ref="I120:I121"/>
    <mergeCell ref="D99:E99"/>
    <mergeCell ref="I92:I93"/>
    <mergeCell ref="I98:I99"/>
    <mergeCell ref="J86:J87"/>
    <mergeCell ref="J88:J89"/>
    <mergeCell ref="D61:E61"/>
    <mergeCell ref="D67:E67"/>
    <mergeCell ref="D79:E79"/>
    <mergeCell ref="D65:E65"/>
    <mergeCell ref="D77:E77"/>
    <mergeCell ref="D76:E76"/>
    <mergeCell ref="J94:J95"/>
    <mergeCell ref="I96:I97"/>
    <mergeCell ref="J96:J97"/>
    <mergeCell ref="D95:E95"/>
    <mergeCell ref="D88:E88"/>
    <mergeCell ref="D89:E89"/>
    <mergeCell ref="I80:I81"/>
    <mergeCell ref="D84:E84"/>
    <mergeCell ref="D62:E62"/>
    <mergeCell ref="J82:J83"/>
    <mergeCell ref="D24:E24"/>
    <mergeCell ref="K14:K17"/>
    <mergeCell ref="F22:F25"/>
    <mergeCell ref="D14:E14"/>
    <mergeCell ref="A42:K42"/>
    <mergeCell ref="D60:E60"/>
    <mergeCell ref="D123:E123"/>
    <mergeCell ref="D92:E92"/>
    <mergeCell ref="D112:E112"/>
    <mergeCell ref="G61:G64"/>
    <mergeCell ref="K100:K101"/>
    <mergeCell ref="D116:E116"/>
    <mergeCell ref="J61:J64"/>
    <mergeCell ref="C65:C68"/>
    <mergeCell ref="J65:J68"/>
    <mergeCell ref="K65:K68"/>
    <mergeCell ref="I65:I68"/>
    <mergeCell ref="G65:G68"/>
    <mergeCell ref="F65:F68"/>
    <mergeCell ref="I86:I87"/>
    <mergeCell ref="K86:K87"/>
    <mergeCell ref="D87:E87"/>
    <mergeCell ref="D44:E44"/>
    <mergeCell ref="I44:K44"/>
    <mergeCell ref="D27:E27"/>
    <mergeCell ref="D28:E28"/>
    <mergeCell ref="D29:E29"/>
    <mergeCell ref="K22:K25"/>
    <mergeCell ref="B218:B219"/>
    <mergeCell ref="B220:B221"/>
    <mergeCell ref="B18:B21"/>
    <mergeCell ref="H18:H21"/>
    <mergeCell ref="J14:J17"/>
    <mergeCell ref="J22:J25"/>
    <mergeCell ref="K18:K21"/>
    <mergeCell ref="I18:I21"/>
    <mergeCell ref="C22:C25"/>
    <mergeCell ref="C18:C21"/>
    <mergeCell ref="C14:C17"/>
    <mergeCell ref="G18:G21"/>
    <mergeCell ref="J18:J21"/>
    <mergeCell ref="F18:F21"/>
    <mergeCell ref="D18:E18"/>
    <mergeCell ref="D19:E19"/>
    <mergeCell ref="D20:E20"/>
    <mergeCell ref="D21:E21"/>
    <mergeCell ref="D15:E15"/>
    <mergeCell ref="G22:G25"/>
    <mergeCell ref="D17:E17"/>
    <mergeCell ref="B30:B33"/>
    <mergeCell ref="C30:C33"/>
    <mergeCell ref="G30:G33"/>
    <mergeCell ref="H30:H33"/>
    <mergeCell ref="I30:I33"/>
    <mergeCell ref="J30:J33"/>
    <mergeCell ref="K30:K33"/>
    <mergeCell ref="F30:F33"/>
    <mergeCell ref="D30:E30"/>
    <mergeCell ref="D31:E31"/>
    <mergeCell ref="D32:E32"/>
    <mergeCell ref="D33:E33"/>
    <mergeCell ref="B26:B29"/>
    <mergeCell ref="C26:C29"/>
    <mergeCell ref="D26:E26"/>
    <mergeCell ref="F26:F29"/>
    <mergeCell ref="G26:G29"/>
    <mergeCell ref="D25:E25"/>
    <mergeCell ref="I22:I25"/>
    <mergeCell ref="H26:H29"/>
    <mergeCell ref="I26:I29"/>
    <mergeCell ref="J26:J29"/>
    <mergeCell ref="K26:K29"/>
    <mergeCell ref="K49:K52"/>
    <mergeCell ref="F49:F52"/>
    <mergeCell ref="B34:B37"/>
    <mergeCell ref="C34:C37"/>
    <mergeCell ref="D34:E34"/>
    <mergeCell ref="F34:F37"/>
    <mergeCell ref="G34:G37"/>
    <mergeCell ref="H34:H37"/>
    <mergeCell ref="I34:I37"/>
    <mergeCell ref="J34:J37"/>
    <mergeCell ref="K34:K37"/>
    <mergeCell ref="D35:E35"/>
    <mergeCell ref="D36:E36"/>
    <mergeCell ref="D37:E37"/>
    <mergeCell ref="D47:E47"/>
    <mergeCell ref="D49:E49"/>
    <mergeCell ref="D50:E50"/>
    <mergeCell ref="D51:E51"/>
    <mergeCell ref="D52:E52"/>
    <mergeCell ref="J45:J48"/>
    <mergeCell ref="K45:K48"/>
    <mergeCell ref="I45:I48"/>
    <mergeCell ref="G45:G48"/>
    <mergeCell ref="H45:H48"/>
    <mergeCell ref="K53:K56"/>
    <mergeCell ref="D54:E54"/>
    <mergeCell ref="D55:E55"/>
    <mergeCell ref="D56:E56"/>
    <mergeCell ref="K82:K83"/>
    <mergeCell ref="B78:B79"/>
    <mergeCell ref="K78:K79"/>
    <mergeCell ref="B82:B83"/>
    <mergeCell ref="B80:B81"/>
    <mergeCell ref="C61:C64"/>
    <mergeCell ref="C57:C60"/>
    <mergeCell ref="J57:J60"/>
    <mergeCell ref="F57:F60"/>
    <mergeCell ref="D68:E68"/>
    <mergeCell ref="D64:E64"/>
    <mergeCell ref="D59:E59"/>
    <mergeCell ref="G57:G60"/>
    <mergeCell ref="D83:E83"/>
    <mergeCell ref="D80:E80"/>
    <mergeCell ref="J90:J91"/>
    <mergeCell ref="D78:E78"/>
    <mergeCell ref="I78:I79"/>
    <mergeCell ref="I90:I91"/>
    <mergeCell ref="B88:B89"/>
    <mergeCell ref="B90:B91"/>
    <mergeCell ref="J84:J85"/>
    <mergeCell ref="B94:B95"/>
    <mergeCell ref="B96:B97"/>
    <mergeCell ref="D85:E85"/>
    <mergeCell ref="D96:E96"/>
    <mergeCell ref="D97:E97"/>
    <mergeCell ref="C45:C48"/>
    <mergeCell ref="B45:B48"/>
    <mergeCell ref="J53:J56"/>
    <mergeCell ref="B49:B52"/>
    <mergeCell ref="C49:C52"/>
    <mergeCell ref="G49:G52"/>
    <mergeCell ref="H49:H52"/>
    <mergeCell ref="I49:I52"/>
    <mergeCell ref="J49:J52"/>
    <mergeCell ref="D48:E48"/>
    <mergeCell ref="D45:E45"/>
    <mergeCell ref="F45:F48"/>
    <mergeCell ref="B53:B56"/>
    <mergeCell ref="C53:C56"/>
    <mergeCell ref="D53:E53"/>
    <mergeCell ref="F53:F56"/>
    <mergeCell ref="G53:G56"/>
    <mergeCell ref="H53:H56"/>
    <mergeCell ref="I53:I56"/>
    <mergeCell ref="D46:E46"/>
  </mergeCells>
  <pageMargins left="0.51181102362204722" right="0.31496062992125984" top="0.55118110236220474" bottom="0.35433070866141736" header="0.31496062992125984" footer="0.31496062992125984"/>
  <pageSetup scale="90" fitToHeight="0" orientation="portrait" r:id="rId1"/>
  <headerFooter>
    <oddFooter>&amp;C&amp;"Helvetica,Regular"&amp;11&amp;P</oddFooter>
    <evenFooter>&amp;C&amp;"Helvetica,Regular"&amp;11&amp;P</evenFooter>
    <firstFooter>&amp;C&amp;"Helvetica,Regular"&amp;11&amp;P</firstFooter>
  </headerFooter>
  <rowBreaks count="7" manualBreakCount="7">
    <brk id="40" max="10" man="1"/>
    <brk id="71" max="10" man="1"/>
    <brk id="126" max="10" man="1"/>
    <brk id="181" max="10" man="1"/>
    <brk id="236" max="10" man="1"/>
    <brk id="291" max="10" man="1"/>
    <brk id="323" max="10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  <pageSetUpPr fitToPage="1"/>
  </sheetPr>
  <dimension ref="B1:IS43"/>
  <sheetViews>
    <sheetView showGridLines="0" workbookViewId="0">
      <selection activeCell="G38" sqref="G38"/>
    </sheetView>
  </sheetViews>
  <sheetFormatPr defaultColWidth="6.59765625" defaultRowHeight="12" customHeight="1" x14ac:dyDescent="0.2"/>
  <cols>
    <col min="1" max="1" width="3.296875" customWidth="1"/>
    <col min="2" max="2" width="12.09765625" style="90" customWidth="1"/>
    <col min="3" max="3" width="15" style="90" customWidth="1"/>
    <col min="4" max="4" width="8" style="90" customWidth="1"/>
    <col min="5" max="5" width="4.8984375" style="42" customWidth="1"/>
    <col min="6" max="6" width="12.09765625" style="90" customWidth="1"/>
    <col min="7" max="7" width="15" style="90" customWidth="1"/>
    <col min="8" max="8" width="8" style="90" customWidth="1"/>
    <col min="9" max="253" width="6.59765625" style="90" customWidth="1"/>
  </cols>
  <sheetData>
    <row r="1" spans="2:11" ht="15" customHeight="1" x14ac:dyDescent="0.25">
      <c r="B1" s="371" t="str">
        <f>Team1!C4&amp;" Vs. "&amp;Team2!C4&amp;" Vs. "&amp;Team3!C4</f>
        <v>Coleraine Vs. Lisburn Vs. Limavady</v>
      </c>
      <c r="C1" s="371"/>
      <c r="D1" s="371"/>
      <c r="E1" s="371"/>
      <c r="F1" s="371"/>
      <c r="G1" s="371"/>
      <c r="H1" s="371"/>
    </row>
    <row r="2" spans="2:11" ht="15" customHeight="1" x14ac:dyDescent="0.25">
      <c r="B2" s="161"/>
      <c r="C2" s="161"/>
      <c r="D2" s="161"/>
      <c r="E2" s="161"/>
      <c r="F2" s="161"/>
      <c r="G2" s="161"/>
      <c r="H2" s="161"/>
    </row>
    <row r="3" spans="2:11" ht="15" customHeight="1" x14ac:dyDescent="0.25">
      <c r="B3" s="197" t="str">
        <f>Team1!C4&amp;" Analysis"</f>
        <v>Coleraine Analysis</v>
      </c>
      <c r="C3" s="161"/>
      <c r="D3" s="161"/>
      <c r="E3" s="161"/>
      <c r="F3" s="161"/>
      <c r="G3" s="161"/>
      <c r="H3" s="161"/>
    </row>
    <row r="4" spans="2:11" ht="15.95" customHeight="1" thickBot="1" x14ac:dyDescent="0.3">
      <c r="B4" s="111"/>
      <c r="C4" s="112"/>
      <c r="D4" s="113"/>
      <c r="E4" s="114"/>
      <c r="F4" s="111"/>
      <c r="G4" s="115"/>
      <c r="H4" s="113"/>
    </row>
    <row r="5" spans="2:11" ht="12.95" customHeight="1" thickBot="1" x14ac:dyDescent="0.25">
      <c r="B5" s="372" t="s">
        <v>75</v>
      </c>
      <c r="C5" s="373"/>
      <c r="D5" s="374"/>
      <c r="E5" s="109"/>
      <c r="F5" s="372" t="s">
        <v>76</v>
      </c>
      <c r="G5" s="373"/>
      <c r="H5" s="374"/>
      <c r="J5" s="173" t="s">
        <v>134</v>
      </c>
      <c r="K5" s="173" t="s">
        <v>135</v>
      </c>
    </row>
    <row r="6" spans="2:11" ht="12" customHeight="1" x14ac:dyDescent="0.2">
      <c r="B6" s="367" t="s">
        <v>30</v>
      </c>
      <c r="C6" s="86" t="str">
        <f>RecordingSheet!D80</f>
        <v>Olivia Jenkinson</v>
      </c>
      <c r="D6" s="85">
        <f>RecordingSheet!F80</f>
        <v>25</v>
      </c>
      <c r="E6" s="110"/>
      <c r="F6" s="367" t="s">
        <v>30</v>
      </c>
      <c r="G6" s="84" t="str">
        <f>RecordingSheet!D86</f>
        <v>Lewis Hawe</v>
      </c>
      <c r="H6" s="85">
        <f>RecordingSheet!F86</f>
        <v>26.82</v>
      </c>
      <c r="J6" s="364" t="str">
        <f>IF(RecordingSheet!F22="","",RecordingSheet!F22)</f>
        <v>1.40.94</v>
      </c>
      <c r="K6" s="364" t="str">
        <f>IF(RecordingSheet!F305=0,"",RecordingSheet!F305)</f>
        <v>1.31.86</v>
      </c>
    </row>
    <row r="7" spans="2:11" ht="12" customHeight="1" thickBot="1" x14ac:dyDescent="0.25">
      <c r="B7" s="368"/>
      <c r="C7" s="86" t="str">
        <f>RecordingSheet!D81</f>
        <v>Robyn Little</v>
      </c>
      <c r="D7" s="87">
        <f>RecordingSheet!F81</f>
        <v>25.58</v>
      </c>
      <c r="E7" s="110"/>
      <c r="F7" s="368"/>
      <c r="G7" s="86" t="str">
        <f>RecordingSheet!D87</f>
        <v>Campbell Smyth</v>
      </c>
      <c r="H7" s="87">
        <f>RecordingSheet!F87</f>
        <v>22.6</v>
      </c>
      <c r="J7" s="365"/>
      <c r="K7" s="365"/>
    </row>
    <row r="8" spans="2:11" ht="12" customHeight="1" x14ac:dyDescent="0.2">
      <c r="B8" s="369" t="s">
        <v>36</v>
      </c>
      <c r="C8" s="84" t="str">
        <f>RecordingSheet!D135</f>
        <v>Alice Boyle</v>
      </c>
      <c r="D8" s="85">
        <f>RecordingSheet!F135</f>
        <v>29.25</v>
      </c>
      <c r="E8" s="110"/>
      <c r="F8" s="369" t="s">
        <v>36</v>
      </c>
      <c r="G8" s="84" t="str">
        <f>RecordingSheet!D141</f>
        <v>Humphry Spence</v>
      </c>
      <c r="H8" s="85">
        <f>RecordingSheet!F141</f>
        <v>29.35</v>
      </c>
      <c r="J8" s="365"/>
      <c r="K8" s="365"/>
    </row>
    <row r="9" spans="2:11" ht="12" customHeight="1" thickBot="1" x14ac:dyDescent="0.25">
      <c r="B9" s="368"/>
      <c r="C9" s="86" t="str">
        <f>RecordingSheet!D136</f>
        <v>Olivia Jenkinson</v>
      </c>
      <c r="D9" s="87">
        <f>RecordingSheet!F136</f>
        <v>28.14</v>
      </c>
      <c r="E9" s="110"/>
      <c r="F9" s="368" t="s">
        <v>36</v>
      </c>
      <c r="G9" s="86" t="str">
        <f>RecordingSheet!D142</f>
        <v>Campbell Smyth</v>
      </c>
      <c r="H9" s="87">
        <f>RecordingSheet!F142</f>
        <v>26.34</v>
      </c>
      <c r="J9" s="365"/>
      <c r="K9" s="365"/>
    </row>
    <row r="10" spans="2:11" ht="12" customHeight="1" x14ac:dyDescent="0.2">
      <c r="B10" s="369" t="s">
        <v>37</v>
      </c>
      <c r="C10" s="194" t="str">
        <f>RecordingSheet!D190</f>
        <v>Sarah Campbell</v>
      </c>
      <c r="D10" s="85">
        <f>RecordingSheet!F190</f>
        <v>27.84</v>
      </c>
      <c r="E10" s="110"/>
      <c r="F10" s="369" t="s">
        <v>37</v>
      </c>
      <c r="G10" s="84" t="str">
        <f>RecordingSheet!D196</f>
        <v>Humphry Spence</v>
      </c>
      <c r="H10" s="85">
        <f>RecordingSheet!F196</f>
        <v>27.65</v>
      </c>
      <c r="J10" s="365"/>
      <c r="K10" s="365"/>
    </row>
    <row r="11" spans="2:11" ht="12" customHeight="1" thickBot="1" x14ac:dyDescent="0.25">
      <c r="B11" s="368"/>
      <c r="C11" s="86" t="str">
        <f>RecordingSheet!D191</f>
        <v>Olivia Jenkinson</v>
      </c>
      <c r="D11" s="87">
        <f>RecordingSheet!F191</f>
        <v>23.44</v>
      </c>
      <c r="E11" s="110"/>
      <c r="F11" s="368" t="s">
        <v>37</v>
      </c>
      <c r="G11" s="86" t="str">
        <f>RecordingSheet!D197</f>
        <v>Campbell Smyth</v>
      </c>
      <c r="H11" s="87">
        <f>RecordingSheet!F197</f>
        <v>28.1</v>
      </c>
      <c r="J11" s="365"/>
      <c r="K11" s="365"/>
    </row>
    <row r="12" spans="2:11" ht="12" customHeight="1" x14ac:dyDescent="0.2">
      <c r="B12" s="369" t="s">
        <v>41</v>
      </c>
      <c r="C12" s="194" t="str">
        <f>RecordingSheet!D245</f>
        <v>Robyn Little</v>
      </c>
      <c r="D12" s="85">
        <f>RecordingSheet!F245</f>
        <v>24.22</v>
      </c>
      <c r="E12" s="110"/>
      <c r="F12" s="369" t="s">
        <v>41</v>
      </c>
      <c r="G12" s="194" t="str">
        <f>RecordingSheet!D251</f>
        <v xml:space="preserve">Campbell Smyth </v>
      </c>
      <c r="H12" s="85">
        <f>RecordingSheet!F251</f>
        <v>21.88</v>
      </c>
      <c r="J12" s="365"/>
      <c r="K12" s="365"/>
    </row>
    <row r="13" spans="2:11" ht="12" customHeight="1" thickBot="1" x14ac:dyDescent="0.25">
      <c r="B13" s="368"/>
      <c r="C13" s="86" t="str">
        <f>RecordingSheet!D246</f>
        <v>Olivia Jenkinson</v>
      </c>
      <c r="D13" s="87">
        <f>RecordingSheet!F246</f>
        <v>21.56</v>
      </c>
      <c r="E13" s="110"/>
      <c r="F13" s="368" t="s">
        <v>41</v>
      </c>
      <c r="G13" s="86" t="str">
        <f>RecordingSheet!D252</f>
        <v>Lewis Hawe</v>
      </c>
      <c r="H13" s="87">
        <f>RecordingSheet!F252</f>
        <v>20.76</v>
      </c>
      <c r="J13" s="366"/>
      <c r="K13" s="366"/>
    </row>
    <row r="14" spans="2:11" ht="12.95" customHeight="1" thickBot="1" x14ac:dyDescent="0.25">
      <c r="B14" s="106"/>
      <c r="C14" s="107"/>
      <c r="D14" s="108"/>
      <c r="F14" s="106"/>
      <c r="G14" s="107"/>
      <c r="H14" s="108"/>
    </row>
    <row r="15" spans="2:11" ht="12.95" customHeight="1" thickBot="1" x14ac:dyDescent="0.25">
      <c r="B15" s="372" t="s">
        <v>77</v>
      </c>
      <c r="C15" s="373"/>
      <c r="D15" s="374"/>
      <c r="E15" s="109"/>
      <c r="F15" s="372" t="s">
        <v>78</v>
      </c>
      <c r="G15" s="373"/>
      <c r="H15" s="374"/>
      <c r="J15" s="173" t="s">
        <v>134</v>
      </c>
      <c r="K15" s="173" t="s">
        <v>135</v>
      </c>
    </row>
    <row r="16" spans="2:11" ht="12" customHeight="1" x14ac:dyDescent="0.2">
      <c r="B16" s="367" t="s">
        <v>30</v>
      </c>
      <c r="C16" s="86" t="str">
        <f>RecordingSheet!D92</f>
        <v>Olivia Higgins</v>
      </c>
      <c r="D16" s="85">
        <f>RecordingSheet!F92</f>
        <v>21.81</v>
      </c>
      <c r="E16" s="110"/>
      <c r="F16" s="367" t="s">
        <v>30</v>
      </c>
      <c r="G16" s="84" t="str">
        <f>RecordingSheet!D98</f>
        <v>James Hegarty</v>
      </c>
      <c r="H16" s="85">
        <f>RecordingSheet!F98</f>
        <v>22.91</v>
      </c>
      <c r="J16" s="364" t="str">
        <f>IF(RecordingSheet!F34="","",RecordingSheet!F30)</f>
        <v>1.20.97</v>
      </c>
      <c r="K16" s="364" t="str">
        <f>IF(RecordingSheet!F317="","",RecordingSheet!F317)</f>
        <v>1.14.04</v>
      </c>
    </row>
    <row r="17" spans="2:11" ht="12" customHeight="1" thickBot="1" x14ac:dyDescent="0.25">
      <c r="B17" s="368"/>
      <c r="C17" s="86" t="str">
        <f>RecordingSheet!D93</f>
        <v>Erin Isley</v>
      </c>
      <c r="D17" s="87">
        <f>RecordingSheet!F93</f>
        <v>20.079999999999998</v>
      </c>
      <c r="E17" s="110"/>
      <c r="F17" s="368"/>
      <c r="G17" s="86" t="str">
        <f>RecordingSheet!D99</f>
        <v>Noah McClelland</v>
      </c>
      <c r="H17" s="87">
        <f>RecordingSheet!F99</f>
        <v>21.42</v>
      </c>
      <c r="J17" s="365"/>
      <c r="K17" s="365"/>
    </row>
    <row r="18" spans="2:11" ht="12" customHeight="1" x14ac:dyDescent="0.2">
      <c r="B18" s="369" t="s">
        <v>36</v>
      </c>
      <c r="C18" s="84" t="str">
        <f>RecordingSheet!D147</f>
        <v>Erin Isley</v>
      </c>
      <c r="D18" s="85">
        <f>RecordingSheet!F147</f>
        <v>23.9</v>
      </c>
      <c r="E18" s="110"/>
      <c r="F18" s="369" t="s">
        <v>36</v>
      </c>
      <c r="G18" s="84" t="str">
        <f>RecordingSheet!D153</f>
        <v>Dara Cassidy</v>
      </c>
      <c r="H18" s="85">
        <f>RecordingSheet!F153</f>
        <v>25.44</v>
      </c>
      <c r="J18" s="365"/>
      <c r="K18" s="365"/>
    </row>
    <row r="19" spans="2:11" ht="12" customHeight="1" thickBot="1" x14ac:dyDescent="0.25">
      <c r="B19" s="368" t="s">
        <v>36</v>
      </c>
      <c r="C19" s="86" t="str">
        <f>RecordingSheet!D148</f>
        <v>Eva Marran</v>
      </c>
      <c r="D19" s="87">
        <f>RecordingSheet!F148</f>
        <v>23.72</v>
      </c>
      <c r="E19" s="110"/>
      <c r="F19" s="368" t="s">
        <v>36</v>
      </c>
      <c r="G19" s="86" t="str">
        <f>RecordingSheet!D154</f>
        <v>Noah McClelland</v>
      </c>
      <c r="H19" s="87">
        <f>RecordingSheet!F154</f>
        <v>25.44</v>
      </c>
      <c r="J19" s="365"/>
      <c r="K19" s="365"/>
    </row>
    <row r="20" spans="2:11" ht="12" customHeight="1" x14ac:dyDescent="0.2">
      <c r="B20" s="369" t="s">
        <v>37</v>
      </c>
      <c r="C20" s="194" t="str">
        <f>RecordingSheet!D202</f>
        <v>Erin Isley</v>
      </c>
      <c r="D20" s="85">
        <f>RecordingSheet!F202</f>
        <v>19.66</v>
      </c>
      <c r="E20" s="110"/>
      <c r="F20" s="369" t="s">
        <v>37</v>
      </c>
      <c r="G20" s="84" t="str">
        <f>RecordingSheet!D208</f>
        <v>Reuben Turbitt</v>
      </c>
      <c r="H20" s="85">
        <f>RecordingSheet!F208</f>
        <v>23.85</v>
      </c>
      <c r="J20" s="365"/>
      <c r="K20" s="365"/>
    </row>
    <row r="21" spans="2:11" ht="12" customHeight="1" thickBot="1" x14ac:dyDescent="0.25">
      <c r="B21" s="368" t="s">
        <v>37</v>
      </c>
      <c r="C21" s="86" t="str">
        <f>RecordingSheet!D203</f>
        <v>Eva Marran</v>
      </c>
      <c r="D21" s="87">
        <f>RecordingSheet!F203</f>
        <v>21.08</v>
      </c>
      <c r="E21" s="110"/>
      <c r="F21" s="368" t="s">
        <v>37</v>
      </c>
      <c r="G21" s="86" t="str">
        <f>RecordingSheet!D209</f>
        <v>Noah McClelland</v>
      </c>
      <c r="H21" s="87">
        <f>RecordingSheet!F209</f>
        <v>19.420000000000002</v>
      </c>
      <c r="J21" s="365"/>
      <c r="K21" s="365"/>
    </row>
    <row r="22" spans="2:11" ht="12" customHeight="1" x14ac:dyDescent="0.2">
      <c r="B22" s="369" t="s">
        <v>41</v>
      </c>
      <c r="C22" s="194" t="str">
        <f>RecordingSheet!D257</f>
        <v>Rose McKenna</v>
      </c>
      <c r="D22" s="85">
        <f>RecordingSheet!F257</f>
        <v>17.91</v>
      </c>
      <c r="E22" s="110"/>
      <c r="F22" s="369" t="s">
        <v>41</v>
      </c>
      <c r="G22" s="194" t="str">
        <f>RecordingSheet!D263</f>
        <v>James Hegarty</v>
      </c>
      <c r="H22" s="85">
        <f>RecordingSheet!F263</f>
        <v>18.41</v>
      </c>
      <c r="J22" s="365"/>
      <c r="K22" s="365"/>
    </row>
    <row r="23" spans="2:11" ht="12" customHeight="1" thickBot="1" x14ac:dyDescent="0.25">
      <c r="B23" s="368" t="s">
        <v>41</v>
      </c>
      <c r="C23" s="86" t="str">
        <f>RecordingSheet!D258</f>
        <v>Erin Isley</v>
      </c>
      <c r="D23" s="87">
        <f>RecordingSheet!F258</f>
        <v>18.420000000000002</v>
      </c>
      <c r="E23" s="110"/>
      <c r="F23" s="368" t="s">
        <v>41</v>
      </c>
      <c r="G23" s="86" t="str">
        <f>RecordingSheet!D264</f>
        <v>Noah McClelland</v>
      </c>
      <c r="H23" s="87">
        <f>RecordingSheet!F264</f>
        <v>17.239999999999998</v>
      </c>
      <c r="J23" s="366"/>
      <c r="K23" s="366"/>
    </row>
    <row r="24" spans="2:11" ht="12.95" customHeight="1" thickBot="1" x14ac:dyDescent="0.25">
      <c r="B24" s="106"/>
      <c r="C24" s="107"/>
      <c r="D24" s="108"/>
      <c r="F24" s="106"/>
      <c r="G24" s="107"/>
      <c r="H24" s="108"/>
    </row>
    <row r="25" spans="2:11" ht="12.95" customHeight="1" thickBot="1" x14ac:dyDescent="0.25">
      <c r="B25" s="372" t="s">
        <v>79</v>
      </c>
      <c r="C25" s="373"/>
      <c r="D25" s="374"/>
      <c r="E25" s="109"/>
      <c r="F25" s="372" t="s">
        <v>80</v>
      </c>
      <c r="G25" s="373"/>
      <c r="H25" s="374"/>
      <c r="J25" s="173" t="s">
        <v>134</v>
      </c>
      <c r="K25" s="173" t="s">
        <v>135</v>
      </c>
    </row>
    <row r="26" spans="2:11" ht="12" customHeight="1" x14ac:dyDescent="0.2">
      <c r="B26" s="367" t="s">
        <v>30</v>
      </c>
      <c r="C26" s="86" t="str">
        <f>RecordingSheet!D104</f>
        <v>Lily Jones</v>
      </c>
      <c r="D26" s="85">
        <f>RecordingSheet!F104</f>
        <v>22.65</v>
      </c>
      <c r="E26" s="110"/>
      <c r="F26" s="367" t="s">
        <v>30</v>
      </c>
      <c r="G26" s="84" t="str">
        <f>RecordingSheet!D110</f>
        <v>Kioni Little</v>
      </c>
      <c r="H26" s="85">
        <f>RecordingSheet!F110</f>
        <v>17.559999999999999</v>
      </c>
      <c r="J26" s="364" t="str">
        <f>IF(RecordingSheet!F53="","",RecordingSheet!F53)</f>
        <v>1.15.28</v>
      </c>
      <c r="K26" s="364" t="str">
        <f>IF(RecordingSheet!F336="","",RecordingSheet!F336)</f>
        <v>1.07.48</v>
      </c>
    </row>
    <row r="27" spans="2:11" ht="12" customHeight="1" thickBot="1" x14ac:dyDescent="0.25">
      <c r="B27" s="368"/>
      <c r="C27" s="86" t="str">
        <f>RecordingSheet!D105</f>
        <v>Riona Cassidy</v>
      </c>
      <c r="D27" s="87">
        <f>RecordingSheet!F105</f>
        <v>18.739999999999998</v>
      </c>
      <c r="E27" s="110"/>
      <c r="F27" s="368"/>
      <c r="G27" s="86" t="str">
        <f>RecordingSheet!D111</f>
        <v>Daniel Eakin</v>
      </c>
      <c r="H27" s="87">
        <f>RecordingSheet!F111</f>
        <v>18.54</v>
      </c>
      <c r="J27" s="365"/>
      <c r="K27" s="365"/>
    </row>
    <row r="28" spans="2:11" ht="12" customHeight="1" x14ac:dyDescent="0.2">
      <c r="B28" s="369" t="s">
        <v>36</v>
      </c>
      <c r="C28" s="84" t="str">
        <f>RecordingSheet!D159</f>
        <v>Riona Cassidy</v>
      </c>
      <c r="D28" s="85">
        <f>RecordingSheet!F159</f>
        <v>22.82</v>
      </c>
      <c r="E28" s="110"/>
      <c r="F28" s="369" t="s">
        <v>36</v>
      </c>
      <c r="G28" s="84" t="str">
        <f>RecordingSheet!D165</f>
        <v>Kioni Little</v>
      </c>
      <c r="H28" s="85">
        <f>RecordingSheet!F165</f>
        <v>23.35</v>
      </c>
      <c r="J28" s="365"/>
      <c r="K28" s="365"/>
    </row>
    <row r="29" spans="2:11" ht="12" customHeight="1" thickBot="1" x14ac:dyDescent="0.25">
      <c r="B29" s="368" t="s">
        <v>36</v>
      </c>
      <c r="C29" s="86" t="str">
        <f>RecordingSheet!D160</f>
        <v>Lily Jones</v>
      </c>
      <c r="D29" s="87">
        <f>RecordingSheet!F160</f>
        <v>22.22</v>
      </c>
      <c r="E29" s="110"/>
      <c r="F29" s="368" t="s">
        <v>36</v>
      </c>
      <c r="G29" s="86" t="str">
        <f>RecordingSheet!D166</f>
        <v>Daniel Eakin</v>
      </c>
      <c r="H29" s="87">
        <f>RecordingSheet!F166</f>
        <v>21.64</v>
      </c>
      <c r="J29" s="365"/>
      <c r="K29" s="365"/>
    </row>
    <row r="30" spans="2:11" ht="12" customHeight="1" x14ac:dyDescent="0.2">
      <c r="B30" s="369" t="s">
        <v>37</v>
      </c>
      <c r="C30" s="194" t="str">
        <f>RecordingSheet!D214</f>
        <v>Lily Jones</v>
      </c>
      <c r="D30" s="85">
        <f>RecordingSheet!F214</f>
        <v>20.87</v>
      </c>
      <c r="E30" s="110"/>
      <c r="F30" s="369" t="s">
        <v>37</v>
      </c>
      <c r="G30" s="84" t="str">
        <f>RecordingSheet!D220</f>
        <v>Daniel Eakin</v>
      </c>
      <c r="H30" s="85">
        <f>RecordingSheet!F220</f>
        <v>18.68</v>
      </c>
      <c r="J30" s="365"/>
      <c r="K30" s="365"/>
    </row>
    <row r="31" spans="2:11" ht="12" customHeight="1" thickBot="1" x14ac:dyDescent="0.25">
      <c r="B31" s="368" t="s">
        <v>37</v>
      </c>
      <c r="C31" s="86" t="str">
        <f>RecordingSheet!D215</f>
        <v>Eida Greene</v>
      </c>
      <c r="D31" s="87">
        <f>RecordingSheet!F215</f>
        <v>19.010000000000002</v>
      </c>
      <c r="E31" s="110"/>
      <c r="F31" s="368" t="s">
        <v>37</v>
      </c>
      <c r="G31" s="86" t="str">
        <f>RecordingSheet!D221</f>
        <v>Kioni Little</v>
      </c>
      <c r="H31" s="87">
        <f>RecordingSheet!F221</f>
        <v>17.72</v>
      </c>
      <c r="J31" s="365"/>
      <c r="K31" s="365"/>
    </row>
    <row r="32" spans="2:11" ht="12" customHeight="1" x14ac:dyDescent="0.2">
      <c r="B32" s="369" t="s">
        <v>41</v>
      </c>
      <c r="C32" s="194" t="str">
        <f>RecordingSheet!D269</f>
        <v>Eida Greene</v>
      </c>
      <c r="D32" s="85">
        <f>RecordingSheet!F269</f>
        <v>17.350000000000001</v>
      </c>
      <c r="E32" s="110"/>
      <c r="F32" s="369" t="s">
        <v>41</v>
      </c>
      <c r="G32" s="194" t="str">
        <f>RecordingSheet!D275</f>
        <v>Daniel Eakin</v>
      </c>
      <c r="H32" s="85">
        <f>RecordingSheet!F275</f>
        <v>16.34</v>
      </c>
      <c r="J32" s="365"/>
      <c r="K32" s="365"/>
    </row>
    <row r="33" spans="2:11" ht="12" customHeight="1" thickBot="1" x14ac:dyDescent="0.25">
      <c r="B33" s="368" t="s">
        <v>41</v>
      </c>
      <c r="C33" s="86" t="str">
        <f>RecordingSheet!D270</f>
        <v>Lily Jones</v>
      </c>
      <c r="D33" s="87">
        <f>RecordingSheet!F270</f>
        <v>17.7</v>
      </c>
      <c r="E33" s="110"/>
      <c r="F33" s="368" t="s">
        <v>41</v>
      </c>
      <c r="G33" s="86" t="str">
        <f>RecordingSheet!D276</f>
        <v>Kioni Little</v>
      </c>
      <c r="H33" s="87">
        <f>RecordingSheet!F276</f>
        <v>16</v>
      </c>
      <c r="J33" s="366"/>
      <c r="K33" s="366"/>
    </row>
    <row r="34" spans="2:11" ht="12.95" customHeight="1" thickBot="1" x14ac:dyDescent="0.25">
      <c r="B34" s="106"/>
      <c r="C34" s="107"/>
      <c r="D34" s="108"/>
      <c r="F34" s="106"/>
      <c r="G34" s="107"/>
      <c r="H34" s="108"/>
    </row>
    <row r="35" spans="2:11" ht="12.95" customHeight="1" thickBot="1" x14ac:dyDescent="0.25">
      <c r="B35" s="372" t="s">
        <v>81</v>
      </c>
      <c r="C35" s="373"/>
      <c r="D35" s="374"/>
      <c r="E35" s="109"/>
      <c r="F35" s="372" t="s">
        <v>82</v>
      </c>
      <c r="G35" s="373"/>
      <c r="H35" s="374"/>
      <c r="J35" s="173" t="s">
        <v>134</v>
      </c>
      <c r="K35" s="173" t="s">
        <v>135</v>
      </c>
    </row>
    <row r="36" spans="2:11" ht="12" customHeight="1" x14ac:dyDescent="0.2">
      <c r="B36" s="367" t="s">
        <v>30</v>
      </c>
      <c r="C36" s="86" t="str">
        <f>RecordingSheet!D116</f>
        <v>Kitty McClarty</v>
      </c>
      <c r="D36" s="85">
        <f>RecordingSheet!F116</f>
        <v>18</v>
      </c>
      <c r="E36" s="110"/>
      <c r="F36" s="367" t="s">
        <v>30</v>
      </c>
      <c r="G36" s="84" t="str">
        <f>RecordingSheet!D122</f>
        <v>Joshua Hawe</v>
      </c>
      <c r="H36" s="85">
        <f>RecordingSheet!F122</f>
        <v>20.38</v>
      </c>
      <c r="J36" s="364" t="str">
        <f>IF(RecordingSheet!F65="","",RecordingSheet!F65)</f>
        <v>1.13.72</v>
      </c>
      <c r="K36" s="364" t="str">
        <f>IF(RecordingSheet!F348="","",RecordingSheet!F348)</f>
        <v/>
      </c>
    </row>
    <row r="37" spans="2:11" ht="12" customHeight="1" thickBot="1" x14ac:dyDescent="0.25">
      <c r="B37" s="368"/>
      <c r="C37" s="86" t="str">
        <f>RecordingSheet!D117</f>
        <v>Isla McClelland</v>
      </c>
      <c r="D37" s="87">
        <f>RecordingSheet!F117</f>
        <v>18.36</v>
      </c>
      <c r="E37" s="110"/>
      <c r="F37" s="368"/>
      <c r="G37" s="86" t="str">
        <f>RecordingSheet!D123</f>
        <v>Fionnan Duffin</v>
      </c>
      <c r="H37" s="87">
        <f>RecordingSheet!F123</f>
        <v>19.22</v>
      </c>
      <c r="J37" s="365"/>
      <c r="K37" s="365"/>
    </row>
    <row r="38" spans="2:11" ht="12" customHeight="1" x14ac:dyDescent="0.2">
      <c r="B38" s="369" t="s">
        <v>36</v>
      </c>
      <c r="C38" s="84" t="str">
        <f>RecordingSheet!D171</f>
        <v>Mairi Clements</v>
      </c>
      <c r="D38" s="85">
        <f>RecordingSheet!F171</f>
        <v>20.91</v>
      </c>
      <c r="E38" s="110"/>
      <c r="F38" s="369" t="s">
        <v>36</v>
      </c>
      <c r="G38" s="84" t="str">
        <f>RecordingSheet!D177</f>
        <v>Fionnan Duffin</v>
      </c>
      <c r="H38" s="85">
        <f>RecordingSheet!F177</f>
        <v>22</v>
      </c>
      <c r="J38" s="365"/>
      <c r="K38" s="365"/>
    </row>
    <row r="39" spans="2:11" ht="12" customHeight="1" thickBot="1" x14ac:dyDescent="0.25">
      <c r="B39" s="368" t="s">
        <v>36</v>
      </c>
      <c r="C39" s="86" t="str">
        <f>RecordingSheet!D172</f>
        <v>Lauren Murray</v>
      </c>
      <c r="D39" s="87">
        <f>RecordingSheet!F172</f>
        <v>21.7</v>
      </c>
      <c r="E39" s="110"/>
      <c r="F39" s="368" t="s">
        <v>36</v>
      </c>
      <c r="G39" s="86" t="str">
        <f>RecordingSheet!D178</f>
        <v>Joshua Hawe</v>
      </c>
      <c r="H39" s="87">
        <f>RecordingSheet!F178</f>
        <v>21.52</v>
      </c>
      <c r="J39" s="365"/>
      <c r="K39" s="365"/>
    </row>
    <row r="40" spans="2:11" ht="12" customHeight="1" x14ac:dyDescent="0.2">
      <c r="B40" s="369" t="s">
        <v>37</v>
      </c>
      <c r="C40" s="194" t="str">
        <f>RecordingSheet!D226</f>
        <v>Emma Price</v>
      </c>
      <c r="D40" s="85">
        <f>RecordingSheet!F226</f>
        <v>16.5</v>
      </c>
      <c r="E40" s="110"/>
      <c r="F40" s="369" t="s">
        <v>37</v>
      </c>
      <c r="G40" s="84" t="str">
        <f>RecordingSheet!D232</f>
        <v>Isaac Duddy</v>
      </c>
      <c r="H40" s="85">
        <f>RecordingSheet!F232</f>
        <v>17.559999999999999</v>
      </c>
      <c r="J40" s="365"/>
      <c r="K40" s="365"/>
    </row>
    <row r="41" spans="2:11" ht="12" customHeight="1" thickBot="1" x14ac:dyDescent="0.25">
      <c r="B41" s="368" t="s">
        <v>37</v>
      </c>
      <c r="C41" s="86" t="str">
        <f>RecordingSheet!D227</f>
        <v>Isla McClelland</v>
      </c>
      <c r="D41" s="87">
        <f>RecordingSheet!F227</f>
        <v>16.8</v>
      </c>
      <c r="E41" s="110"/>
      <c r="F41" s="368" t="s">
        <v>37</v>
      </c>
      <c r="G41" s="86">
        <f>RecordingSheet!D233</f>
        <v>0</v>
      </c>
      <c r="H41" s="87">
        <f>RecordingSheet!F233</f>
        <v>17.899999999999999</v>
      </c>
      <c r="J41" s="365"/>
      <c r="K41" s="365"/>
    </row>
    <row r="42" spans="2:11" ht="12" customHeight="1" x14ac:dyDescent="0.2">
      <c r="B42" s="369" t="s">
        <v>41</v>
      </c>
      <c r="C42" s="194" t="str">
        <f>RecordingSheet!D281</f>
        <v>Emma Price</v>
      </c>
      <c r="D42" s="85">
        <f>RecordingSheet!F281</f>
        <v>16.53</v>
      </c>
      <c r="E42" s="110"/>
      <c r="F42" s="369" t="s">
        <v>41</v>
      </c>
      <c r="G42" s="194" t="str">
        <f>RecordingSheet!D287</f>
        <v>Fionnan Duffin</v>
      </c>
      <c r="H42" s="85">
        <f>RecordingSheet!F287</f>
        <v>17.07</v>
      </c>
      <c r="J42" s="365"/>
      <c r="K42" s="365"/>
    </row>
    <row r="43" spans="2:11" ht="12" customHeight="1" thickBot="1" x14ac:dyDescent="0.25">
      <c r="B43" s="370" t="s">
        <v>41</v>
      </c>
      <c r="C43" s="88" t="str">
        <f>RecordingSheet!D282</f>
        <v>Isla McClelland</v>
      </c>
      <c r="D43" s="89">
        <f>RecordingSheet!F282</f>
        <v>15.8</v>
      </c>
      <c r="E43" s="110"/>
      <c r="F43" s="370" t="s">
        <v>41</v>
      </c>
      <c r="G43" s="88" t="str">
        <f>RecordingSheet!D288</f>
        <v>Isaac Duddy</v>
      </c>
      <c r="H43" s="89">
        <f>RecordingSheet!F288</f>
        <v>15.76</v>
      </c>
      <c r="J43" s="366"/>
      <c r="K43" s="366"/>
    </row>
  </sheetData>
  <mergeCells count="49">
    <mergeCell ref="B32:B33"/>
    <mergeCell ref="F32:F33"/>
    <mergeCell ref="B10:B11"/>
    <mergeCell ref="B12:B13"/>
    <mergeCell ref="F5:H5"/>
    <mergeCell ref="F6:F7"/>
    <mergeCell ref="F8:F9"/>
    <mergeCell ref="F10:F11"/>
    <mergeCell ref="F12:F13"/>
    <mergeCell ref="B5:D5"/>
    <mergeCell ref="B6:B7"/>
    <mergeCell ref="B8:B9"/>
    <mergeCell ref="B28:B29"/>
    <mergeCell ref="F28:F29"/>
    <mergeCell ref="B30:B31"/>
    <mergeCell ref="F30:F31"/>
    <mergeCell ref="B15:D15"/>
    <mergeCell ref="F15:H15"/>
    <mergeCell ref="B25:D25"/>
    <mergeCell ref="F25:H25"/>
    <mergeCell ref="F20:F21"/>
    <mergeCell ref="B22:B23"/>
    <mergeCell ref="F22:F23"/>
    <mergeCell ref="F18:F19"/>
    <mergeCell ref="B20:B21"/>
    <mergeCell ref="B26:B27"/>
    <mergeCell ref="F26:F27"/>
    <mergeCell ref="B42:B43"/>
    <mergeCell ref="F42:F43"/>
    <mergeCell ref="B1:H1"/>
    <mergeCell ref="B36:B37"/>
    <mergeCell ref="F36:F37"/>
    <mergeCell ref="B38:B39"/>
    <mergeCell ref="F38:F39"/>
    <mergeCell ref="B40:B41"/>
    <mergeCell ref="F40:F41"/>
    <mergeCell ref="B35:D35"/>
    <mergeCell ref="F35:H35"/>
    <mergeCell ref="B16:B17"/>
    <mergeCell ref="F16:F17"/>
    <mergeCell ref="B18:B19"/>
    <mergeCell ref="J36:J43"/>
    <mergeCell ref="K36:K43"/>
    <mergeCell ref="J6:J13"/>
    <mergeCell ref="K6:K13"/>
    <mergeCell ref="J16:J23"/>
    <mergeCell ref="K16:K23"/>
    <mergeCell ref="J26:J33"/>
    <mergeCell ref="K26:K33"/>
  </mergeCells>
  <pageMargins left="0" right="0" top="0" bottom="0" header="0" footer="0"/>
  <pageSetup paperSize="9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B050"/>
    <pageSetUpPr fitToPage="1"/>
  </sheetPr>
  <dimension ref="B1:IS43"/>
  <sheetViews>
    <sheetView showGridLines="0" workbookViewId="0">
      <selection activeCell="B1" sqref="B1:H1"/>
    </sheetView>
  </sheetViews>
  <sheetFormatPr defaultColWidth="6.59765625" defaultRowHeight="12" customHeight="1" x14ac:dyDescent="0.2"/>
  <cols>
    <col min="1" max="1" width="3.296875" customWidth="1"/>
    <col min="2" max="2" width="12.09765625" style="90" customWidth="1"/>
    <col min="3" max="3" width="15" style="90" customWidth="1"/>
    <col min="4" max="4" width="8" style="90" customWidth="1"/>
    <col min="5" max="5" width="4.8984375" style="42" customWidth="1"/>
    <col min="6" max="6" width="12.09765625" style="90" customWidth="1"/>
    <col min="7" max="7" width="15" style="90" customWidth="1"/>
    <col min="8" max="8" width="8" style="90" customWidth="1"/>
    <col min="9" max="253" width="6.59765625" style="90" customWidth="1"/>
  </cols>
  <sheetData>
    <row r="1" spans="2:11" ht="15" customHeight="1" x14ac:dyDescent="0.25">
      <c r="B1" s="371" t="str">
        <f>Team1!C4&amp;" Vs. "&amp;Team2!C4&amp;" Vs. "&amp;Team3!C4</f>
        <v>Coleraine Vs. Lisburn Vs. Limavady</v>
      </c>
      <c r="C1" s="371"/>
      <c r="D1" s="371"/>
      <c r="E1" s="371"/>
      <c r="F1" s="371"/>
      <c r="G1" s="371"/>
      <c r="H1" s="371"/>
    </row>
    <row r="2" spans="2:11" ht="15" customHeight="1" x14ac:dyDescent="0.25">
      <c r="B2" s="161"/>
      <c r="C2" s="161"/>
      <c r="D2" s="161"/>
      <c r="E2" s="161"/>
      <c r="F2" s="161"/>
      <c r="G2" s="161"/>
      <c r="H2" s="161"/>
    </row>
    <row r="3" spans="2:11" ht="15" customHeight="1" x14ac:dyDescent="0.25">
      <c r="B3" s="197" t="str">
        <f>Team2!C4&amp;" Analysis"</f>
        <v>Lisburn Analysis</v>
      </c>
      <c r="C3" s="161"/>
      <c r="D3" s="161"/>
      <c r="E3" s="161"/>
      <c r="F3" s="161"/>
      <c r="G3" s="161"/>
      <c r="H3" s="161"/>
    </row>
    <row r="4" spans="2:11" ht="15.95" customHeight="1" thickBot="1" x14ac:dyDescent="0.3">
      <c r="B4" s="111"/>
      <c r="C4" s="112"/>
      <c r="D4" s="113"/>
      <c r="E4" s="114"/>
      <c r="F4" s="111"/>
      <c r="G4" s="115"/>
      <c r="H4" s="113"/>
    </row>
    <row r="5" spans="2:11" ht="12.95" customHeight="1" thickBot="1" x14ac:dyDescent="0.25">
      <c r="B5" s="372" t="s">
        <v>75</v>
      </c>
      <c r="C5" s="373"/>
      <c r="D5" s="374"/>
      <c r="E5" s="109"/>
      <c r="F5" s="372" t="s">
        <v>76</v>
      </c>
      <c r="G5" s="373"/>
      <c r="H5" s="374"/>
      <c r="J5" s="173" t="s">
        <v>134</v>
      </c>
      <c r="K5" s="173" t="s">
        <v>135</v>
      </c>
    </row>
    <row r="6" spans="2:11" ht="12" customHeight="1" x14ac:dyDescent="0.2">
      <c r="B6" s="367" t="s">
        <v>30</v>
      </c>
      <c r="C6" s="86" t="str">
        <f>RecordingSheet!D76</f>
        <v>Meave Murphy</v>
      </c>
      <c r="D6" s="87">
        <f>RecordingSheet!F76</f>
        <v>26.59</v>
      </c>
      <c r="E6" s="110"/>
      <c r="F6" s="367" t="s">
        <v>30</v>
      </c>
      <c r="G6" s="84" t="str">
        <f>RecordingSheet!D82</f>
        <v>Harry McGlashan</v>
      </c>
      <c r="H6" s="85">
        <f>RecordingSheet!F82</f>
        <v>21.47</v>
      </c>
      <c r="J6" s="364" t="str">
        <f>IF(RecordingSheet!F14="","",RecordingSheet!F14)</f>
        <v>1.30.50</v>
      </c>
      <c r="K6" s="364" t="str">
        <f>IF(RecordingSheet!F297=0,"",RecordingSheet!F297)</f>
        <v>1.19.50</v>
      </c>
    </row>
    <row r="7" spans="2:11" ht="12" customHeight="1" thickBot="1" x14ac:dyDescent="0.25">
      <c r="B7" s="368"/>
      <c r="C7" s="86" t="str">
        <f>RecordingSheet!D77</f>
        <v>Amelia Stone</v>
      </c>
      <c r="D7" s="87">
        <f>RecordingSheet!F77</f>
        <v>26.59</v>
      </c>
      <c r="E7" s="110"/>
      <c r="F7" s="368"/>
      <c r="G7" s="86" t="str">
        <f>RecordingSheet!D83</f>
        <v>Ross Gray</v>
      </c>
      <c r="H7" s="87">
        <f>RecordingSheet!F83</f>
        <v>24.62</v>
      </c>
      <c r="J7" s="365"/>
      <c r="K7" s="365"/>
    </row>
    <row r="8" spans="2:11" ht="12" customHeight="1" x14ac:dyDescent="0.2">
      <c r="B8" s="369" t="s">
        <v>36</v>
      </c>
      <c r="C8" s="84" t="str">
        <f>RecordingSheet!D131</f>
        <v>Amelia Stone</v>
      </c>
      <c r="D8" s="85">
        <f>RecordingSheet!F131</f>
        <v>25.47</v>
      </c>
      <c r="E8" s="110"/>
      <c r="F8" s="369" t="s">
        <v>36</v>
      </c>
      <c r="G8" s="84" t="str">
        <f>RecordingSheet!D137</f>
        <v>Harry McGlashan</v>
      </c>
      <c r="H8" s="85">
        <f>RecordingSheet!F137</f>
        <v>23.06</v>
      </c>
      <c r="J8" s="365"/>
      <c r="K8" s="365"/>
    </row>
    <row r="9" spans="2:11" ht="12" customHeight="1" thickBot="1" x14ac:dyDescent="0.25">
      <c r="B9" s="368"/>
      <c r="C9" s="86" t="str">
        <f>RecordingSheet!D132</f>
        <v>Lara Stewart</v>
      </c>
      <c r="D9" s="87">
        <f>RecordingSheet!F132</f>
        <v>34.090000000000003</v>
      </c>
      <c r="E9" s="110"/>
      <c r="F9" s="368" t="s">
        <v>36</v>
      </c>
      <c r="G9" s="195" t="str">
        <f>RecordingSheet!D138</f>
        <v>Ross Gray</v>
      </c>
      <c r="H9" s="87">
        <f>RecordingSheet!F138</f>
        <v>23.75</v>
      </c>
      <c r="J9" s="365"/>
      <c r="K9" s="365"/>
    </row>
    <row r="10" spans="2:11" ht="12" customHeight="1" x14ac:dyDescent="0.2">
      <c r="B10" s="369" t="s">
        <v>37</v>
      </c>
      <c r="C10" s="194" t="str">
        <f>RecordingSheet!D186</f>
        <v xml:space="preserve">Tilly Bracken </v>
      </c>
      <c r="D10" s="85">
        <f>RecordingSheet!F186</f>
        <v>29.73</v>
      </c>
      <c r="E10" s="110"/>
      <c r="F10" s="369" t="s">
        <v>37</v>
      </c>
      <c r="G10" s="84" t="str">
        <f>RecordingSheet!D192</f>
        <v>Harry McGlashan</v>
      </c>
      <c r="H10" s="85">
        <f>RecordingSheet!F192</f>
        <v>19.440000000000001</v>
      </c>
      <c r="J10" s="365"/>
      <c r="K10" s="365"/>
    </row>
    <row r="11" spans="2:11" ht="12" customHeight="1" thickBot="1" x14ac:dyDescent="0.25">
      <c r="B11" s="368"/>
      <c r="C11" s="86" t="str">
        <f>RecordingSheet!D187</f>
        <v>Amelia Stone</v>
      </c>
      <c r="D11" s="87">
        <f>RecordingSheet!F187</f>
        <v>27.4</v>
      </c>
      <c r="E11" s="110"/>
      <c r="F11" s="368" t="s">
        <v>37</v>
      </c>
      <c r="G11" s="86" t="str">
        <f>RecordingSheet!D193</f>
        <v>Ross Gray</v>
      </c>
      <c r="H11" s="87">
        <f>RecordingSheet!F193</f>
        <v>24.44</v>
      </c>
      <c r="J11" s="365"/>
      <c r="K11" s="365"/>
    </row>
    <row r="12" spans="2:11" ht="12" customHeight="1" x14ac:dyDescent="0.2">
      <c r="B12" s="369" t="s">
        <v>41</v>
      </c>
      <c r="C12" s="194" t="str">
        <f>RecordingSheet!D241</f>
        <v>Amelia Stone</v>
      </c>
      <c r="D12" s="85">
        <f>RecordingSheet!F241</f>
        <v>20.16</v>
      </c>
      <c r="E12" s="110"/>
      <c r="F12" s="369" t="s">
        <v>41</v>
      </c>
      <c r="G12" s="194" t="str">
        <f>RecordingSheet!D247</f>
        <v>Harry McGlashan</v>
      </c>
      <c r="H12" s="85">
        <f>RecordingSheet!F247</f>
        <v>17.440000000000001</v>
      </c>
      <c r="J12" s="365"/>
      <c r="K12" s="365"/>
    </row>
    <row r="13" spans="2:11" ht="12" customHeight="1" thickBot="1" x14ac:dyDescent="0.25">
      <c r="B13" s="368"/>
      <c r="C13" s="86" t="str">
        <f>RecordingSheet!D242</f>
        <v>Erin Lowry</v>
      </c>
      <c r="D13" s="87">
        <f>RecordingSheet!F242</f>
        <v>24.65</v>
      </c>
      <c r="E13" s="110"/>
      <c r="F13" s="368" t="s">
        <v>41</v>
      </c>
      <c r="G13" s="86" t="str">
        <f>RecordingSheet!D248</f>
        <v>Ross Gray</v>
      </c>
      <c r="H13" s="87">
        <f>RecordingSheet!F248</f>
        <v>20.22</v>
      </c>
      <c r="J13" s="366"/>
      <c r="K13" s="366"/>
    </row>
    <row r="14" spans="2:11" ht="12.95" customHeight="1" thickBot="1" x14ac:dyDescent="0.25">
      <c r="B14" s="106"/>
      <c r="C14" s="107"/>
      <c r="D14" s="108"/>
      <c r="F14" s="106"/>
      <c r="G14" s="107"/>
      <c r="H14" s="108"/>
    </row>
    <row r="15" spans="2:11" ht="12.95" customHeight="1" thickBot="1" x14ac:dyDescent="0.25">
      <c r="B15" s="372" t="s">
        <v>77</v>
      </c>
      <c r="C15" s="373"/>
      <c r="D15" s="374"/>
      <c r="E15" s="109"/>
      <c r="F15" s="372" t="s">
        <v>78</v>
      </c>
      <c r="G15" s="373"/>
      <c r="H15" s="374"/>
      <c r="J15" s="173" t="s">
        <v>134</v>
      </c>
      <c r="K15" s="173" t="s">
        <v>135</v>
      </c>
    </row>
    <row r="16" spans="2:11" ht="12" customHeight="1" x14ac:dyDescent="0.2">
      <c r="B16" s="367" t="s">
        <v>30</v>
      </c>
      <c r="C16" s="86" t="str">
        <f>RecordingSheet!D88</f>
        <v xml:space="preserve">Amelia Hughes </v>
      </c>
      <c r="D16" s="85">
        <f>RecordingSheet!F88</f>
        <v>20.41</v>
      </c>
      <c r="E16" s="110"/>
      <c r="F16" s="367" t="s">
        <v>30</v>
      </c>
      <c r="G16" s="84" t="str">
        <f>RecordingSheet!D94</f>
        <v>Luke Coleman</v>
      </c>
      <c r="H16" s="85">
        <f>RecordingSheet!F94</f>
        <v>21.66</v>
      </c>
      <c r="J16" s="364" t="str">
        <f>IF(RecordingSheet!F26="","",RecordingSheet!F26)</f>
        <v>1.23.28</v>
      </c>
      <c r="K16" s="364" t="str">
        <f>IF(RecordingSheet!F309="","",RecordingSheet!F309)</f>
        <v>1.11.50</v>
      </c>
    </row>
    <row r="17" spans="2:11" ht="12" customHeight="1" thickBot="1" x14ac:dyDescent="0.25">
      <c r="B17" s="368"/>
      <c r="C17" s="86" t="str">
        <f>RecordingSheet!D89</f>
        <v>Zara Hopkins</v>
      </c>
      <c r="D17" s="87">
        <f>RecordingSheet!F89</f>
        <v>19.82</v>
      </c>
      <c r="E17" s="110"/>
      <c r="F17" s="368"/>
      <c r="G17" s="86" t="str">
        <f>RecordingSheet!D95</f>
        <v xml:space="preserve">Rory Stanley </v>
      </c>
      <c r="H17" s="87">
        <f>RecordingSheet!F95</f>
        <v>22.96</v>
      </c>
      <c r="J17" s="365"/>
      <c r="K17" s="365"/>
    </row>
    <row r="18" spans="2:11" ht="12" customHeight="1" x14ac:dyDescent="0.2">
      <c r="B18" s="369" t="s">
        <v>36</v>
      </c>
      <c r="C18" s="84" t="str">
        <f>RecordingSheet!D143</f>
        <v>Zara Hopkins</v>
      </c>
      <c r="D18" s="85">
        <f>RecordingSheet!F143</f>
        <v>21.25</v>
      </c>
      <c r="E18" s="110"/>
      <c r="F18" s="369" t="s">
        <v>36</v>
      </c>
      <c r="G18" s="84" t="str">
        <f>RecordingSheet!D149</f>
        <v xml:space="preserve">Rory Stanley </v>
      </c>
      <c r="H18" s="85">
        <f>RecordingSheet!F149</f>
        <v>25.23</v>
      </c>
      <c r="J18" s="365"/>
      <c r="K18" s="365"/>
    </row>
    <row r="19" spans="2:11" ht="12" customHeight="1" thickBot="1" x14ac:dyDescent="0.25">
      <c r="B19" s="368" t="s">
        <v>36</v>
      </c>
      <c r="C19" s="86" t="str">
        <f>RecordingSheet!D144</f>
        <v>Poppy Jeffers</v>
      </c>
      <c r="D19" s="87">
        <f>RecordingSheet!F144</f>
        <v>25.75</v>
      </c>
      <c r="E19" s="110"/>
      <c r="F19" s="368" t="s">
        <v>36</v>
      </c>
      <c r="G19" s="195" t="str">
        <f>RecordingSheet!D150</f>
        <v xml:space="preserve">Patrick Munce </v>
      </c>
      <c r="H19" s="87">
        <f>RecordingSheet!F150</f>
        <v>26.66</v>
      </c>
      <c r="J19" s="365"/>
      <c r="K19" s="365"/>
    </row>
    <row r="20" spans="2:11" ht="12" customHeight="1" x14ac:dyDescent="0.2">
      <c r="B20" s="369" t="s">
        <v>37</v>
      </c>
      <c r="C20" s="194" t="str">
        <f>RecordingSheet!D198</f>
        <v>Zara Hopkins</v>
      </c>
      <c r="D20" s="85">
        <f>RecordingSheet!F198</f>
        <v>18.760000000000002</v>
      </c>
      <c r="E20" s="110"/>
      <c r="F20" s="369" t="s">
        <v>37</v>
      </c>
      <c r="G20" s="84" t="str">
        <f>RecordingSheet!D204</f>
        <v>Luke Coleman</v>
      </c>
      <c r="H20" s="85">
        <f>RecordingSheet!F204</f>
        <v>21.04</v>
      </c>
      <c r="J20" s="365"/>
      <c r="K20" s="365"/>
    </row>
    <row r="21" spans="2:11" ht="12" customHeight="1" thickBot="1" x14ac:dyDescent="0.25">
      <c r="B21" s="368" t="s">
        <v>37</v>
      </c>
      <c r="C21" s="86" t="str">
        <f>RecordingSheet!D199</f>
        <v>Poppy Jeffers</v>
      </c>
      <c r="D21" s="87">
        <f>RecordingSheet!F199</f>
        <v>21.31</v>
      </c>
      <c r="E21" s="110"/>
      <c r="F21" s="368" t="s">
        <v>37</v>
      </c>
      <c r="G21" s="86" t="str">
        <f>RecordingSheet!D205</f>
        <v>Charlie Williamson</v>
      </c>
      <c r="H21" s="87">
        <f>RecordingSheet!F205</f>
        <v>23.72</v>
      </c>
      <c r="J21" s="365"/>
      <c r="K21" s="365"/>
    </row>
    <row r="22" spans="2:11" ht="12" customHeight="1" x14ac:dyDescent="0.2">
      <c r="B22" s="369" t="s">
        <v>41</v>
      </c>
      <c r="C22" s="194" t="str">
        <f>RecordingSheet!D253</f>
        <v>Zara Hopkins</v>
      </c>
      <c r="D22" s="85">
        <f>RecordingSheet!F253</f>
        <v>16.47</v>
      </c>
      <c r="E22" s="110"/>
      <c r="F22" s="369" t="s">
        <v>41</v>
      </c>
      <c r="G22" s="194" t="str">
        <f>RecordingSheet!D259</f>
        <v>Luke Coleman</v>
      </c>
      <c r="H22" s="85">
        <f>RecordingSheet!F259</f>
        <v>18.12</v>
      </c>
      <c r="J22" s="365"/>
      <c r="K22" s="365"/>
    </row>
    <row r="23" spans="2:11" ht="12" customHeight="1" thickBot="1" x14ac:dyDescent="0.25">
      <c r="B23" s="368" t="s">
        <v>41</v>
      </c>
      <c r="C23" s="86" t="str">
        <f>RecordingSheet!D254</f>
        <v xml:space="preserve">Erin Fitzpatrick </v>
      </c>
      <c r="D23" s="87">
        <f>RecordingSheet!F254</f>
        <v>17.88</v>
      </c>
      <c r="E23" s="110"/>
      <c r="F23" s="368" t="s">
        <v>41</v>
      </c>
      <c r="G23" s="86" t="str">
        <f>RecordingSheet!D260</f>
        <v>Charlie Williamson</v>
      </c>
      <c r="H23" s="87">
        <f>RecordingSheet!F260</f>
        <v>19.399999999999999</v>
      </c>
      <c r="J23" s="366"/>
      <c r="K23" s="366"/>
    </row>
    <row r="24" spans="2:11" ht="12.95" customHeight="1" thickBot="1" x14ac:dyDescent="0.25">
      <c r="B24" s="106"/>
      <c r="C24" s="107"/>
      <c r="D24" s="108"/>
      <c r="F24" s="106"/>
      <c r="G24" s="107"/>
      <c r="H24" s="108"/>
    </row>
    <row r="25" spans="2:11" ht="12.95" customHeight="1" thickBot="1" x14ac:dyDescent="0.25">
      <c r="B25" s="372" t="s">
        <v>79</v>
      </c>
      <c r="C25" s="373"/>
      <c r="D25" s="374"/>
      <c r="E25" s="109"/>
      <c r="F25" s="372" t="s">
        <v>80</v>
      </c>
      <c r="G25" s="373"/>
      <c r="H25" s="374"/>
      <c r="J25" s="173" t="s">
        <v>134</v>
      </c>
      <c r="K25" s="173" t="s">
        <v>135</v>
      </c>
    </row>
    <row r="26" spans="2:11" ht="12" customHeight="1" x14ac:dyDescent="0.2">
      <c r="B26" s="367" t="s">
        <v>30</v>
      </c>
      <c r="C26" s="86" t="str">
        <f>RecordingSheet!D100</f>
        <v>Sinead McQuillan</v>
      </c>
      <c r="D26" s="85">
        <f>RecordingSheet!F100</f>
        <v>20.3</v>
      </c>
      <c r="E26" s="110"/>
      <c r="F26" s="367" t="s">
        <v>30</v>
      </c>
      <c r="G26" s="84" t="str">
        <f>RecordingSheet!D106</f>
        <v>Benjamin Bickerstaffe</v>
      </c>
      <c r="H26" s="85">
        <f>RecordingSheet!F106</f>
        <v>17</v>
      </c>
      <c r="J26" s="364" t="str">
        <f>IF(RecordingSheet!F45="","",RecordingSheet!F45)</f>
        <v>1.16.28</v>
      </c>
      <c r="K26" s="364" t="str">
        <f>IF(RecordingSheet!F328="","",RecordingSheet!F328)</f>
        <v>1.07.00</v>
      </c>
    </row>
    <row r="27" spans="2:11" ht="12" customHeight="1" thickBot="1" x14ac:dyDescent="0.25">
      <c r="B27" s="368"/>
      <c r="C27" s="86" t="str">
        <f>RecordingSheet!D101</f>
        <v>Evie Lowry</v>
      </c>
      <c r="D27" s="87">
        <f>RecordingSheet!F101</f>
        <v>21.66</v>
      </c>
      <c r="E27" s="110"/>
      <c r="F27" s="368"/>
      <c r="G27" s="86" t="str">
        <f>RecordingSheet!D107</f>
        <v>Cillan Hall</v>
      </c>
      <c r="H27" s="87">
        <f>RecordingSheet!F107</f>
        <v>20.5</v>
      </c>
      <c r="J27" s="365"/>
      <c r="K27" s="365"/>
    </row>
    <row r="28" spans="2:11" ht="12" customHeight="1" x14ac:dyDescent="0.2">
      <c r="B28" s="369" t="s">
        <v>36</v>
      </c>
      <c r="C28" s="84" t="str">
        <f>RecordingSheet!D155</f>
        <v xml:space="preserve">Erin McGuigan </v>
      </c>
      <c r="D28" s="85">
        <f>RecordingSheet!F155</f>
        <v>24.18</v>
      </c>
      <c r="E28" s="110"/>
      <c r="F28" s="369" t="s">
        <v>36</v>
      </c>
      <c r="G28" s="84" t="str">
        <f>RecordingSheet!D161</f>
        <v>Benjamin Bickerstaffe</v>
      </c>
      <c r="H28" s="85">
        <f>RecordingSheet!F161</f>
        <v>21.04</v>
      </c>
      <c r="J28" s="365"/>
      <c r="K28" s="365"/>
    </row>
    <row r="29" spans="2:11" ht="12" customHeight="1" thickBot="1" x14ac:dyDescent="0.25">
      <c r="B29" s="368" t="s">
        <v>36</v>
      </c>
      <c r="C29" s="86" t="str">
        <f>RecordingSheet!D156</f>
        <v xml:space="preserve">Sinead McQuillan </v>
      </c>
      <c r="D29" s="87">
        <f>RecordingSheet!F156</f>
        <v>24.03</v>
      </c>
      <c r="E29" s="110"/>
      <c r="F29" s="368" t="s">
        <v>36</v>
      </c>
      <c r="G29" s="195" t="str">
        <f>RecordingSheet!D162</f>
        <v>Cillan Hall</v>
      </c>
      <c r="H29" s="87">
        <f>RecordingSheet!F162</f>
        <v>22.13</v>
      </c>
      <c r="J29" s="365"/>
      <c r="K29" s="365"/>
    </row>
    <row r="30" spans="2:11" ht="12" customHeight="1" x14ac:dyDescent="0.2">
      <c r="B30" s="369" t="s">
        <v>37</v>
      </c>
      <c r="C30" s="194" t="str">
        <f>RecordingSheet!D210</f>
        <v>Evie Lowry</v>
      </c>
      <c r="D30" s="85">
        <f>RecordingSheet!F210</f>
        <v>20.29</v>
      </c>
      <c r="E30" s="110"/>
      <c r="F30" s="369" t="s">
        <v>37</v>
      </c>
      <c r="G30" s="84" t="str">
        <f>RecordingSheet!D216</f>
        <v>Benjamin Bickerstaffe</v>
      </c>
      <c r="H30" s="85">
        <f>RecordingSheet!F216</f>
        <v>15.88</v>
      </c>
      <c r="J30" s="365"/>
      <c r="K30" s="365"/>
    </row>
    <row r="31" spans="2:11" ht="12" customHeight="1" thickBot="1" x14ac:dyDescent="0.25">
      <c r="B31" s="368" t="s">
        <v>37</v>
      </c>
      <c r="C31" s="86" t="str">
        <f>RecordingSheet!D211</f>
        <v>Katie Jeffers</v>
      </c>
      <c r="D31" s="87">
        <f>RecordingSheet!F211</f>
        <v>21.1</v>
      </c>
      <c r="E31" s="110"/>
      <c r="F31" s="368" t="s">
        <v>37</v>
      </c>
      <c r="G31" s="86" t="str">
        <f>RecordingSheet!D217</f>
        <v>Cillan Hall</v>
      </c>
      <c r="H31" s="87">
        <f>RecordingSheet!F217</f>
        <v>18.62</v>
      </c>
      <c r="J31" s="365"/>
      <c r="K31" s="365"/>
    </row>
    <row r="32" spans="2:11" ht="12" customHeight="1" x14ac:dyDescent="0.2">
      <c r="B32" s="369" t="s">
        <v>41</v>
      </c>
      <c r="C32" s="194" t="str">
        <f>RecordingSheet!D265</f>
        <v>Sinead McQuillan</v>
      </c>
      <c r="D32" s="85">
        <f>RecordingSheet!F265</f>
        <v>17.3</v>
      </c>
      <c r="E32" s="110"/>
      <c r="F32" s="369" t="s">
        <v>41</v>
      </c>
      <c r="G32" s="194" t="str">
        <f>RecordingSheet!D271</f>
        <v>Benjamin Bickerstaffe</v>
      </c>
      <c r="H32" s="85">
        <f>RecordingSheet!F271</f>
        <v>14.96</v>
      </c>
      <c r="J32" s="365"/>
      <c r="K32" s="365"/>
    </row>
    <row r="33" spans="2:11" ht="12" customHeight="1" thickBot="1" x14ac:dyDescent="0.25">
      <c r="B33" s="368" t="s">
        <v>41</v>
      </c>
      <c r="C33" s="86" t="str">
        <f>RecordingSheet!D266</f>
        <v>Evie Lowry</v>
      </c>
      <c r="D33" s="87">
        <f>RecordingSheet!F266</f>
        <v>18.62</v>
      </c>
      <c r="E33" s="110"/>
      <c r="F33" s="368" t="s">
        <v>41</v>
      </c>
      <c r="G33" s="86" t="str">
        <f>RecordingSheet!D272</f>
        <v>Cillan Hall</v>
      </c>
      <c r="H33" s="87">
        <f>RecordingSheet!F272</f>
        <v>16.75</v>
      </c>
      <c r="J33" s="366"/>
      <c r="K33" s="366"/>
    </row>
    <row r="34" spans="2:11" ht="12.95" customHeight="1" thickBot="1" x14ac:dyDescent="0.25">
      <c r="B34" s="106"/>
      <c r="C34" s="107"/>
      <c r="D34" s="108"/>
      <c r="F34" s="106"/>
      <c r="G34" s="107"/>
      <c r="H34" s="108"/>
    </row>
    <row r="35" spans="2:11" ht="12.95" customHeight="1" thickBot="1" x14ac:dyDescent="0.25">
      <c r="B35" s="372" t="s">
        <v>81</v>
      </c>
      <c r="C35" s="373"/>
      <c r="D35" s="374"/>
      <c r="E35" s="109"/>
      <c r="F35" s="372" t="s">
        <v>82</v>
      </c>
      <c r="G35" s="373"/>
      <c r="H35" s="374"/>
      <c r="J35" s="173" t="s">
        <v>134</v>
      </c>
      <c r="K35" s="173" t="s">
        <v>135</v>
      </c>
    </row>
    <row r="36" spans="2:11" ht="12" customHeight="1" x14ac:dyDescent="0.2">
      <c r="B36" s="367" t="s">
        <v>30</v>
      </c>
      <c r="C36" s="86" t="str">
        <f>RecordingSheet!D112</f>
        <v>Emily Coleman</v>
      </c>
      <c r="D36" s="85">
        <f>RecordingSheet!F112</f>
        <v>18</v>
      </c>
      <c r="E36" s="110"/>
      <c r="F36" s="367" t="s">
        <v>30</v>
      </c>
      <c r="G36" s="84" t="str">
        <f>RecordingSheet!D118</f>
        <v>Alfie Shawe</v>
      </c>
      <c r="H36" s="85">
        <f>RecordingSheet!F118</f>
        <v>17.75</v>
      </c>
      <c r="J36" s="364" t="str">
        <f>IF(RecordingSheet!F57="","",RecordingSheet!F57)</f>
        <v>1.10.32</v>
      </c>
      <c r="K36" s="364" t="str">
        <f>IF(RecordingSheet!F340="","",RecordingSheet!F340)</f>
        <v>1.06.38</v>
      </c>
    </row>
    <row r="37" spans="2:11" ht="12" customHeight="1" thickBot="1" x14ac:dyDescent="0.25">
      <c r="B37" s="368"/>
      <c r="C37" s="86" t="str">
        <f>RecordingSheet!D113</f>
        <v xml:space="preserve">Niamh Hughes </v>
      </c>
      <c r="D37" s="87">
        <f>RecordingSheet!F113</f>
        <v>18.850000000000001</v>
      </c>
      <c r="E37" s="110"/>
      <c r="F37" s="368"/>
      <c r="G37" s="86" t="str">
        <f>RecordingSheet!D119</f>
        <v xml:space="preserve">Adam Stanley </v>
      </c>
      <c r="H37" s="87">
        <f>RecordingSheet!F119</f>
        <v>19.07</v>
      </c>
      <c r="J37" s="365"/>
      <c r="K37" s="365"/>
    </row>
    <row r="38" spans="2:11" ht="12" customHeight="1" x14ac:dyDescent="0.2">
      <c r="B38" s="369" t="s">
        <v>36</v>
      </c>
      <c r="C38" s="84" t="str">
        <f>RecordingSheet!D167</f>
        <v>Chrissy Hopkins</v>
      </c>
      <c r="D38" s="85">
        <f>RecordingSheet!F167</f>
        <v>18.73</v>
      </c>
      <c r="E38" s="110"/>
      <c r="F38" s="369" t="s">
        <v>36</v>
      </c>
      <c r="G38" s="84" t="str">
        <f>RecordingSheet!D173</f>
        <v>Tom Keys</v>
      </c>
      <c r="H38" s="85">
        <f>RecordingSheet!F173</f>
        <v>19.98</v>
      </c>
      <c r="J38" s="365"/>
      <c r="K38" s="365"/>
    </row>
    <row r="39" spans="2:11" ht="12" customHeight="1" thickBot="1" x14ac:dyDescent="0.25">
      <c r="B39" s="368" t="s">
        <v>36</v>
      </c>
      <c r="C39" s="86" t="str">
        <f>RecordingSheet!D168</f>
        <v>Annie Poots</v>
      </c>
      <c r="D39" s="87">
        <f>RecordingSheet!F168</f>
        <v>21</v>
      </c>
      <c r="E39" s="110"/>
      <c r="F39" s="368" t="s">
        <v>36</v>
      </c>
      <c r="G39" s="195" t="str">
        <f>RecordingSheet!D174</f>
        <v>Alfie Shawe</v>
      </c>
      <c r="H39" s="87">
        <f>RecordingSheet!F174</f>
        <v>20.309999999999999</v>
      </c>
      <c r="J39" s="365"/>
      <c r="K39" s="365"/>
    </row>
    <row r="40" spans="2:11" ht="12" customHeight="1" x14ac:dyDescent="0.2">
      <c r="B40" s="369" t="s">
        <v>37</v>
      </c>
      <c r="C40" s="194" t="str">
        <f>RecordingSheet!D222</f>
        <v>Emily Coleman</v>
      </c>
      <c r="D40" s="85">
        <f>RecordingSheet!F222</f>
        <v>16</v>
      </c>
      <c r="E40" s="110"/>
      <c r="F40" s="369" t="s">
        <v>37</v>
      </c>
      <c r="G40" s="84" t="str">
        <f>RecordingSheet!D228</f>
        <v>Alfie Shawe</v>
      </c>
      <c r="H40" s="85">
        <f>RecordingSheet!F228</f>
        <v>16.149999999999999</v>
      </c>
      <c r="J40" s="365"/>
      <c r="K40" s="365"/>
    </row>
    <row r="41" spans="2:11" ht="12" customHeight="1" thickBot="1" x14ac:dyDescent="0.25">
      <c r="B41" s="368" t="s">
        <v>37</v>
      </c>
      <c r="C41" s="86" t="str">
        <f>RecordingSheet!D223</f>
        <v>Yzabelle Pacia</v>
      </c>
      <c r="D41" s="87">
        <f>RecordingSheet!F223</f>
        <v>16.059999999999999</v>
      </c>
      <c r="E41" s="110"/>
      <c r="F41" s="368" t="s">
        <v>37</v>
      </c>
      <c r="G41" s="86" t="str">
        <f>RecordingSheet!D229</f>
        <v xml:space="preserve">Tom Keys </v>
      </c>
      <c r="H41" s="87">
        <f>RecordingSheet!F229</f>
        <v>17.809999999999999</v>
      </c>
      <c r="J41" s="365"/>
      <c r="K41" s="365"/>
    </row>
    <row r="42" spans="2:11" ht="12" customHeight="1" x14ac:dyDescent="0.2">
      <c r="B42" s="369" t="s">
        <v>41</v>
      </c>
      <c r="C42" s="194" t="str">
        <f>RecordingSheet!D277</f>
        <v>Emily Coleman</v>
      </c>
      <c r="D42" s="85">
        <f>RecordingSheet!F277</f>
        <v>14.7</v>
      </c>
      <c r="E42" s="110"/>
      <c r="F42" s="369" t="s">
        <v>41</v>
      </c>
      <c r="G42" s="194" t="str">
        <f>RecordingSheet!D283</f>
        <v>Alfie Shawe</v>
      </c>
      <c r="H42" s="85">
        <f>RecordingSheet!F283</f>
        <v>14.6</v>
      </c>
      <c r="J42" s="365"/>
      <c r="K42" s="365"/>
    </row>
    <row r="43" spans="2:11" ht="12" customHeight="1" thickBot="1" x14ac:dyDescent="0.25">
      <c r="B43" s="370" t="s">
        <v>41</v>
      </c>
      <c r="C43" s="88" t="str">
        <f>RecordingSheet!D278</f>
        <v xml:space="preserve">Isobel Lamont </v>
      </c>
      <c r="D43" s="89">
        <f>RecordingSheet!F278</f>
        <v>15.38</v>
      </c>
      <c r="E43" s="110"/>
      <c r="F43" s="370" t="s">
        <v>41</v>
      </c>
      <c r="G43" s="88" t="str">
        <f>RecordingSheet!D284</f>
        <v xml:space="preserve">Tom Keys </v>
      </c>
      <c r="H43" s="89">
        <f>RecordingSheet!F284</f>
        <v>15.37</v>
      </c>
      <c r="J43" s="366"/>
      <c r="K43" s="366"/>
    </row>
  </sheetData>
  <mergeCells count="49">
    <mergeCell ref="B8:B9"/>
    <mergeCell ref="F8:F9"/>
    <mergeCell ref="B1:H1"/>
    <mergeCell ref="B5:D5"/>
    <mergeCell ref="F5:H5"/>
    <mergeCell ref="B6:B7"/>
    <mergeCell ref="F6:F7"/>
    <mergeCell ref="B10:B11"/>
    <mergeCell ref="F10:F11"/>
    <mergeCell ref="B12:B13"/>
    <mergeCell ref="F12:F13"/>
    <mergeCell ref="B15:D15"/>
    <mergeCell ref="F15:H15"/>
    <mergeCell ref="B16:B17"/>
    <mergeCell ref="F16:F17"/>
    <mergeCell ref="B18:B19"/>
    <mergeCell ref="F18:F19"/>
    <mergeCell ref="B20:B21"/>
    <mergeCell ref="F20:F21"/>
    <mergeCell ref="B22:B23"/>
    <mergeCell ref="F22:F23"/>
    <mergeCell ref="B25:D25"/>
    <mergeCell ref="F25:H25"/>
    <mergeCell ref="B26:B27"/>
    <mergeCell ref="F26:F27"/>
    <mergeCell ref="B28:B29"/>
    <mergeCell ref="F28:F29"/>
    <mergeCell ref="B30:B31"/>
    <mergeCell ref="F30:F31"/>
    <mergeCell ref="B32:B33"/>
    <mergeCell ref="F32:F33"/>
    <mergeCell ref="B35:D35"/>
    <mergeCell ref="F35:H35"/>
    <mergeCell ref="B36:B37"/>
    <mergeCell ref="F36:F37"/>
    <mergeCell ref="B38:B39"/>
    <mergeCell ref="F38:F39"/>
    <mergeCell ref="J6:J13"/>
    <mergeCell ref="K6:K13"/>
    <mergeCell ref="J16:J23"/>
    <mergeCell ref="K16:K23"/>
    <mergeCell ref="J26:J33"/>
    <mergeCell ref="K26:K33"/>
    <mergeCell ref="J36:J43"/>
    <mergeCell ref="K36:K43"/>
    <mergeCell ref="B40:B41"/>
    <mergeCell ref="F40:F41"/>
    <mergeCell ref="B42:B43"/>
    <mergeCell ref="F42:F43"/>
  </mergeCells>
  <pageMargins left="0" right="0" top="0" bottom="0" header="0" footer="0"/>
  <pageSetup paperSize="9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  <pageSetUpPr fitToPage="1"/>
  </sheetPr>
  <dimension ref="B1:IS43"/>
  <sheetViews>
    <sheetView showGridLines="0" topLeftCell="A19" workbookViewId="0">
      <selection activeCell="B3" sqref="B3"/>
    </sheetView>
  </sheetViews>
  <sheetFormatPr defaultColWidth="6.59765625" defaultRowHeight="12" customHeight="1" x14ac:dyDescent="0.2"/>
  <cols>
    <col min="1" max="1" width="3.296875" customWidth="1"/>
    <col min="2" max="2" width="12.09765625" style="83" customWidth="1"/>
    <col min="3" max="3" width="15" style="83" customWidth="1"/>
    <col min="4" max="4" width="8" style="83" customWidth="1"/>
    <col min="5" max="5" width="4.8984375" style="42" customWidth="1"/>
    <col min="6" max="6" width="12.09765625" style="83" customWidth="1"/>
    <col min="7" max="7" width="15" style="83" customWidth="1"/>
    <col min="8" max="8" width="8" style="83" customWidth="1"/>
    <col min="9" max="253" width="6.59765625" style="83" customWidth="1"/>
  </cols>
  <sheetData>
    <row r="1" spans="2:253" ht="15" customHeight="1" x14ac:dyDescent="0.25">
      <c r="B1" s="371" t="str">
        <f>Team1!C4&amp;" Vs. "&amp;Team2!C4&amp;" Vs. "&amp;Team3!C4</f>
        <v>Coleraine Vs. Lisburn Vs. Limavady</v>
      </c>
      <c r="C1" s="371"/>
      <c r="D1" s="371"/>
      <c r="E1" s="371"/>
      <c r="F1" s="371"/>
      <c r="G1" s="371"/>
      <c r="H1" s="371"/>
    </row>
    <row r="2" spans="2:253" ht="15" customHeight="1" x14ac:dyDescent="0.25">
      <c r="B2" s="161"/>
      <c r="C2" s="161"/>
      <c r="D2" s="161"/>
      <c r="E2" s="161"/>
      <c r="F2" s="161"/>
      <c r="G2" s="161"/>
      <c r="H2" s="161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0"/>
      <c r="FK2" s="90"/>
      <c r="FL2" s="90"/>
      <c r="FM2" s="90"/>
      <c r="FN2" s="90"/>
      <c r="FO2" s="90"/>
      <c r="FP2" s="90"/>
      <c r="FQ2" s="90"/>
      <c r="FR2" s="90"/>
      <c r="FS2" s="90"/>
      <c r="FT2" s="90"/>
      <c r="FU2" s="90"/>
      <c r="FV2" s="90"/>
      <c r="FW2" s="90"/>
      <c r="FX2" s="90"/>
      <c r="FY2" s="90"/>
      <c r="FZ2" s="90"/>
      <c r="GA2" s="90"/>
      <c r="GB2" s="90"/>
      <c r="GC2" s="90"/>
      <c r="GD2" s="90"/>
      <c r="GE2" s="90"/>
      <c r="GF2" s="90"/>
      <c r="GG2" s="90"/>
      <c r="GH2" s="90"/>
      <c r="GI2" s="90"/>
      <c r="GJ2" s="90"/>
      <c r="GK2" s="90"/>
      <c r="GL2" s="90"/>
      <c r="GM2" s="90"/>
      <c r="GN2" s="90"/>
      <c r="GO2" s="90"/>
      <c r="GP2" s="90"/>
      <c r="GQ2" s="90"/>
      <c r="GR2" s="90"/>
      <c r="GS2" s="90"/>
      <c r="GT2" s="90"/>
      <c r="GU2" s="90"/>
      <c r="GV2" s="90"/>
      <c r="GW2" s="90"/>
      <c r="GX2" s="90"/>
      <c r="GY2" s="90"/>
      <c r="GZ2" s="90"/>
      <c r="HA2" s="90"/>
      <c r="HB2" s="90"/>
      <c r="HC2" s="90"/>
      <c r="HD2" s="90"/>
      <c r="HE2" s="90"/>
      <c r="HF2" s="90"/>
      <c r="HG2" s="90"/>
      <c r="HH2" s="90"/>
      <c r="HI2" s="90"/>
      <c r="HJ2" s="90"/>
      <c r="HK2" s="90"/>
      <c r="HL2" s="90"/>
      <c r="HM2" s="90"/>
      <c r="HN2" s="90"/>
      <c r="HO2" s="90"/>
      <c r="HP2" s="90"/>
      <c r="HQ2" s="90"/>
      <c r="HR2" s="90"/>
      <c r="HS2" s="90"/>
      <c r="HT2" s="90"/>
      <c r="HU2" s="90"/>
      <c r="HV2" s="90"/>
      <c r="HW2" s="90"/>
      <c r="HX2" s="90"/>
      <c r="HY2" s="90"/>
      <c r="HZ2" s="90"/>
      <c r="IA2" s="90"/>
      <c r="IB2" s="90"/>
      <c r="IC2" s="90"/>
      <c r="ID2" s="90"/>
      <c r="IE2" s="90"/>
      <c r="IF2" s="90"/>
      <c r="IG2" s="90"/>
      <c r="IH2" s="90"/>
      <c r="II2" s="90"/>
      <c r="IJ2" s="90"/>
      <c r="IK2" s="90"/>
      <c r="IL2" s="90"/>
      <c r="IM2" s="90"/>
      <c r="IN2" s="90"/>
      <c r="IO2" s="90"/>
      <c r="IP2" s="90"/>
      <c r="IQ2" s="90"/>
      <c r="IR2" s="90"/>
      <c r="IS2" s="90"/>
    </row>
    <row r="3" spans="2:253" ht="15" customHeight="1" x14ac:dyDescent="0.25">
      <c r="B3" s="197" t="str">
        <f>Team3!C4&amp;" Analysis"</f>
        <v>Limavady Analysis</v>
      </c>
      <c r="C3" s="161"/>
      <c r="D3" s="161"/>
      <c r="E3" s="161"/>
      <c r="F3" s="161"/>
      <c r="G3" s="161"/>
      <c r="H3" s="161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  <c r="HA3" s="90"/>
      <c r="HB3" s="90"/>
      <c r="HC3" s="90"/>
      <c r="HD3" s="90"/>
      <c r="HE3" s="90"/>
      <c r="HF3" s="90"/>
      <c r="HG3" s="90"/>
      <c r="HH3" s="90"/>
      <c r="HI3" s="90"/>
      <c r="HJ3" s="90"/>
      <c r="HK3" s="90"/>
      <c r="HL3" s="90"/>
      <c r="HM3" s="90"/>
      <c r="HN3" s="90"/>
      <c r="HO3" s="90"/>
      <c r="HP3" s="90"/>
      <c r="HQ3" s="90"/>
      <c r="HR3" s="90"/>
      <c r="HS3" s="90"/>
      <c r="HT3" s="90"/>
      <c r="HU3" s="90"/>
      <c r="HV3" s="90"/>
      <c r="HW3" s="90"/>
      <c r="HX3" s="90"/>
      <c r="HY3" s="90"/>
      <c r="HZ3" s="90"/>
      <c r="IA3" s="90"/>
      <c r="IB3" s="90"/>
      <c r="IC3" s="90"/>
      <c r="ID3" s="90"/>
      <c r="IE3" s="90"/>
      <c r="IF3" s="90"/>
      <c r="IG3" s="90"/>
      <c r="IH3" s="90"/>
      <c r="II3" s="90"/>
      <c r="IJ3" s="90"/>
      <c r="IK3" s="90"/>
      <c r="IL3" s="90"/>
      <c r="IM3" s="90"/>
      <c r="IN3" s="90"/>
      <c r="IO3" s="90"/>
      <c r="IP3" s="90"/>
      <c r="IQ3" s="90"/>
      <c r="IR3" s="90"/>
      <c r="IS3" s="90"/>
    </row>
    <row r="4" spans="2:253" ht="15.95" customHeight="1" thickBot="1" x14ac:dyDescent="0.3">
      <c r="B4" s="111"/>
      <c r="C4" s="112"/>
      <c r="D4" s="113"/>
      <c r="E4" s="114"/>
      <c r="F4" s="111"/>
      <c r="G4" s="115"/>
      <c r="H4" s="113"/>
    </row>
    <row r="5" spans="2:253" ht="12.95" customHeight="1" thickBot="1" x14ac:dyDescent="0.25">
      <c r="B5" s="372" t="s">
        <v>75</v>
      </c>
      <c r="C5" s="373"/>
      <c r="D5" s="374"/>
      <c r="E5" s="109"/>
      <c r="F5" s="372" t="s">
        <v>76</v>
      </c>
      <c r="G5" s="373"/>
      <c r="H5" s="374"/>
      <c r="J5" s="173" t="s">
        <v>134</v>
      </c>
      <c r="K5" s="173" t="s">
        <v>135</v>
      </c>
    </row>
    <row r="6" spans="2:253" ht="12" customHeight="1" x14ac:dyDescent="0.2">
      <c r="B6" s="367" t="s">
        <v>30</v>
      </c>
      <c r="C6" s="86" t="str">
        <f>RecordingSheet!D78</f>
        <v>Myia Mc Clamont</v>
      </c>
      <c r="D6" s="87">
        <f>RecordingSheet!F78</f>
        <v>26.99</v>
      </c>
      <c r="E6" s="110"/>
      <c r="F6" s="367" t="s">
        <v>30</v>
      </c>
      <c r="G6" s="84" t="str">
        <f>RecordingSheet!D84</f>
        <v>Tom Cormie</v>
      </c>
      <c r="H6" s="85">
        <f>RecordingSheet!F84</f>
        <v>29.68</v>
      </c>
      <c r="J6" s="364" t="str">
        <f>IF(RecordingSheet!F18="","",RecordingSheet!F18)</f>
        <v>1.32.34</v>
      </c>
      <c r="K6" s="364" t="str">
        <f>IF(RecordingSheet!F301=0,"",RecordingSheet!F301)</f>
        <v>1.21.00</v>
      </c>
    </row>
    <row r="7" spans="2:253" ht="12" customHeight="1" thickBot="1" x14ac:dyDescent="0.25">
      <c r="B7" s="368"/>
      <c r="C7" s="86" t="str">
        <f>RecordingSheet!D79</f>
        <v>Caelyn O Connor</v>
      </c>
      <c r="D7" s="87">
        <f>RecordingSheet!F79</f>
        <v>22.5</v>
      </c>
      <c r="E7" s="110"/>
      <c r="F7" s="368"/>
      <c r="G7" s="86" t="str">
        <f>RecordingSheet!D85</f>
        <v>Henry Connell</v>
      </c>
      <c r="H7" s="87">
        <f>RecordingSheet!F85</f>
        <v>26.18</v>
      </c>
      <c r="J7" s="365"/>
      <c r="K7" s="365"/>
    </row>
    <row r="8" spans="2:253" ht="12" customHeight="1" x14ac:dyDescent="0.2">
      <c r="B8" s="369" t="s">
        <v>36</v>
      </c>
      <c r="C8" s="84" t="str">
        <f>RecordingSheet!D133</f>
        <v>Myia Mc Clamont</v>
      </c>
      <c r="D8" s="85">
        <f>RecordingSheet!F133</f>
        <v>25.47</v>
      </c>
      <c r="E8" s="110"/>
      <c r="F8" s="369" t="s">
        <v>36</v>
      </c>
      <c r="G8" s="84" t="str">
        <f>RecordingSheet!D139</f>
        <v>Henry Connell</v>
      </c>
      <c r="H8" s="85">
        <f>RecordingSheet!F139</f>
        <v>27.53</v>
      </c>
      <c r="J8" s="365"/>
      <c r="K8" s="365"/>
    </row>
    <row r="9" spans="2:253" ht="12" customHeight="1" thickBot="1" x14ac:dyDescent="0.25">
      <c r="B9" s="368"/>
      <c r="C9" s="86" t="str">
        <f>RecordingSheet!D134</f>
        <v>Fiona O Neill</v>
      </c>
      <c r="D9" s="87">
        <f>RecordingSheet!F134</f>
        <v>27.12</v>
      </c>
      <c r="E9" s="110"/>
      <c r="F9" s="368" t="s">
        <v>36</v>
      </c>
      <c r="G9" s="86" t="str">
        <f>RecordingSheet!D140</f>
        <v>Jack Mc Gookin</v>
      </c>
      <c r="H9" s="87">
        <f>RecordingSheet!F140</f>
        <v>29.96</v>
      </c>
      <c r="J9" s="365"/>
      <c r="K9" s="365"/>
    </row>
    <row r="10" spans="2:253" ht="12" customHeight="1" x14ac:dyDescent="0.2">
      <c r="B10" s="369" t="s">
        <v>37</v>
      </c>
      <c r="C10" s="194" t="str">
        <f>RecordingSheet!D188</f>
        <v>Myia Mc Clamont</v>
      </c>
      <c r="D10" s="85">
        <f>RecordingSheet!F188</f>
        <v>22.48</v>
      </c>
      <c r="E10" s="110"/>
      <c r="F10" s="369" t="s">
        <v>37</v>
      </c>
      <c r="G10" s="84" t="str">
        <f>RecordingSheet!D194</f>
        <v>Tom Cormie</v>
      </c>
      <c r="H10" s="85">
        <f>RecordingSheet!F194</f>
        <v>24.58</v>
      </c>
      <c r="J10" s="365"/>
      <c r="K10" s="365"/>
    </row>
    <row r="11" spans="2:253" ht="12" customHeight="1" thickBot="1" x14ac:dyDescent="0.25">
      <c r="B11" s="368"/>
      <c r="C11" s="86" t="str">
        <f>RecordingSheet!D189</f>
        <v>Fiona O Neill</v>
      </c>
      <c r="D11" s="87">
        <f>RecordingSheet!F189</f>
        <v>22.32</v>
      </c>
      <c r="E11" s="110"/>
      <c r="F11" s="368" t="s">
        <v>37</v>
      </c>
      <c r="G11" s="86" t="str">
        <f>RecordingSheet!D195</f>
        <v>Henry Connell</v>
      </c>
      <c r="H11" s="87">
        <f>RecordingSheet!F195</f>
        <v>33.659999999999997</v>
      </c>
      <c r="J11" s="365"/>
      <c r="K11" s="365"/>
    </row>
    <row r="12" spans="2:253" ht="12" customHeight="1" x14ac:dyDescent="0.2">
      <c r="B12" s="369" t="s">
        <v>41</v>
      </c>
      <c r="C12" s="194" t="str">
        <f>RecordingSheet!D243</f>
        <v>Myia Mc Clamont</v>
      </c>
      <c r="D12" s="85">
        <f>RecordingSheet!F243</f>
        <v>18.579999999999998</v>
      </c>
      <c r="E12" s="110"/>
      <c r="F12" s="369" t="s">
        <v>41</v>
      </c>
      <c r="G12" s="194" t="str">
        <f>RecordingSheet!D249</f>
        <v>Tom Cormie</v>
      </c>
      <c r="H12" s="85">
        <f>RecordingSheet!F249</f>
        <v>21.53</v>
      </c>
      <c r="J12" s="365"/>
      <c r="K12" s="365"/>
    </row>
    <row r="13" spans="2:253" ht="12" customHeight="1" thickBot="1" x14ac:dyDescent="0.25">
      <c r="B13" s="368"/>
      <c r="C13" s="86" t="str">
        <f>RecordingSheet!D244</f>
        <v>Fiona O Neill</v>
      </c>
      <c r="D13" s="87">
        <f>RecordingSheet!F244</f>
        <v>19.5</v>
      </c>
      <c r="E13" s="110"/>
      <c r="F13" s="368" t="s">
        <v>41</v>
      </c>
      <c r="G13" s="86" t="str">
        <f>RecordingSheet!D250</f>
        <v>Eoin Mc Alinden</v>
      </c>
      <c r="H13" s="87">
        <f>RecordingSheet!F250</f>
        <v>21.97</v>
      </c>
      <c r="J13" s="366"/>
      <c r="K13" s="366"/>
    </row>
    <row r="14" spans="2:253" ht="12.95" customHeight="1" thickBot="1" x14ac:dyDescent="0.25">
      <c r="B14" s="106"/>
      <c r="C14" s="107"/>
      <c r="D14" s="108"/>
      <c r="F14" s="106"/>
      <c r="G14" s="107"/>
      <c r="H14" s="108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  <c r="HA14" s="90"/>
      <c r="HB14" s="90"/>
      <c r="HC14" s="90"/>
      <c r="HD14" s="90"/>
      <c r="HE14" s="90"/>
      <c r="HF14" s="90"/>
      <c r="HG14" s="90"/>
      <c r="HH14" s="90"/>
      <c r="HI14" s="90"/>
      <c r="HJ14" s="90"/>
      <c r="HK14" s="90"/>
      <c r="HL14" s="90"/>
      <c r="HM14" s="90"/>
      <c r="HN14" s="90"/>
      <c r="HO14" s="90"/>
      <c r="HP14" s="90"/>
      <c r="HQ14" s="90"/>
      <c r="HR14" s="90"/>
      <c r="HS14" s="90"/>
      <c r="HT14" s="90"/>
      <c r="HU14" s="90"/>
      <c r="HV14" s="90"/>
      <c r="HW14" s="90"/>
      <c r="HX14" s="90"/>
      <c r="HY14" s="90"/>
      <c r="HZ14" s="90"/>
      <c r="IA14" s="90"/>
      <c r="IB14" s="90"/>
      <c r="IC14" s="90"/>
      <c r="ID14" s="90"/>
      <c r="IE14" s="90"/>
      <c r="IF14" s="90"/>
      <c r="IG14" s="90"/>
      <c r="IH14" s="90"/>
      <c r="II14" s="90"/>
      <c r="IJ14" s="90"/>
      <c r="IK14" s="90"/>
      <c r="IL14" s="90"/>
      <c r="IM14" s="90"/>
      <c r="IN14" s="90"/>
      <c r="IO14" s="90"/>
      <c r="IP14" s="90"/>
      <c r="IQ14" s="90"/>
      <c r="IR14" s="90"/>
      <c r="IS14" s="90"/>
    </row>
    <row r="15" spans="2:253" ht="12.95" customHeight="1" thickBot="1" x14ac:dyDescent="0.25">
      <c r="B15" s="372" t="s">
        <v>77</v>
      </c>
      <c r="C15" s="373"/>
      <c r="D15" s="374"/>
      <c r="E15" s="109"/>
      <c r="F15" s="372" t="s">
        <v>78</v>
      </c>
      <c r="G15" s="373"/>
      <c r="H15" s="374"/>
      <c r="I15" s="90"/>
      <c r="J15" s="173" t="s">
        <v>134</v>
      </c>
      <c r="K15" s="173" t="s">
        <v>135</v>
      </c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  <c r="HA15" s="90"/>
      <c r="HB15" s="90"/>
      <c r="HC15" s="90"/>
      <c r="HD15" s="90"/>
      <c r="HE15" s="90"/>
      <c r="HF15" s="90"/>
      <c r="HG15" s="90"/>
      <c r="HH15" s="90"/>
      <c r="HI15" s="90"/>
      <c r="HJ15" s="90"/>
      <c r="HK15" s="90"/>
      <c r="HL15" s="90"/>
      <c r="HM15" s="90"/>
      <c r="HN15" s="90"/>
      <c r="HO15" s="90"/>
      <c r="HP15" s="90"/>
      <c r="HQ15" s="90"/>
      <c r="HR15" s="90"/>
      <c r="HS15" s="90"/>
      <c r="HT15" s="90"/>
      <c r="HU15" s="90"/>
      <c r="HV15" s="90"/>
      <c r="HW15" s="90"/>
      <c r="HX15" s="90"/>
      <c r="HY15" s="90"/>
      <c r="HZ15" s="90"/>
      <c r="IA15" s="90"/>
      <c r="IB15" s="90"/>
      <c r="IC15" s="90"/>
      <c r="ID15" s="90"/>
      <c r="IE15" s="90"/>
      <c r="IF15" s="90"/>
      <c r="IG15" s="90"/>
      <c r="IH15" s="90"/>
      <c r="II15" s="90"/>
      <c r="IJ15" s="90"/>
      <c r="IK15" s="90"/>
      <c r="IL15" s="90"/>
      <c r="IM15" s="90"/>
      <c r="IN15" s="90"/>
      <c r="IO15" s="90"/>
      <c r="IP15" s="90"/>
      <c r="IQ15" s="90"/>
      <c r="IR15" s="90"/>
      <c r="IS15" s="90"/>
    </row>
    <row r="16" spans="2:253" ht="12" customHeight="1" x14ac:dyDescent="0.2">
      <c r="B16" s="367" t="s">
        <v>30</v>
      </c>
      <c r="C16" s="84" t="str">
        <f>RecordingSheet!D90</f>
        <v>Alice Caldwell</v>
      </c>
      <c r="D16" s="85">
        <f>RecordingSheet!F90</f>
        <v>21.16</v>
      </c>
      <c r="E16" s="110"/>
      <c r="F16" s="367" t="s">
        <v>30</v>
      </c>
      <c r="G16" s="84" t="str">
        <f>RecordingSheet!D96</f>
        <v>Sam Staats Howard</v>
      </c>
      <c r="H16" s="85">
        <f>RecordingSheet!F96</f>
        <v>19.920000000000002</v>
      </c>
      <c r="I16" s="90"/>
      <c r="J16" s="364" t="str">
        <f>IF(RecordingSheet!F30="","",RecordingSheet!F30)</f>
        <v>1.20.97</v>
      </c>
      <c r="K16" s="375" t="str">
        <f>IF(RecordingSheet!F313="","",RecordingSheet!F313)</f>
        <v>1.11.36</v>
      </c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  <c r="HA16" s="90"/>
      <c r="HB16" s="90"/>
      <c r="HC16" s="90"/>
      <c r="HD16" s="90"/>
      <c r="HE16" s="90"/>
      <c r="HF16" s="90"/>
      <c r="HG16" s="90"/>
      <c r="HH16" s="90"/>
      <c r="HI16" s="90"/>
      <c r="HJ16" s="90"/>
      <c r="HK16" s="90"/>
      <c r="HL16" s="90"/>
      <c r="HM16" s="90"/>
      <c r="HN16" s="90"/>
      <c r="HO16" s="90"/>
      <c r="HP16" s="90"/>
      <c r="HQ16" s="90"/>
      <c r="HR16" s="90"/>
      <c r="HS16" s="90"/>
      <c r="HT16" s="90"/>
      <c r="HU16" s="90"/>
      <c r="HV16" s="90"/>
      <c r="HW16" s="90"/>
      <c r="HX16" s="90"/>
      <c r="HY16" s="90"/>
      <c r="HZ16" s="90"/>
      <c r="IA16" s="90"/>
      <c r="IB16" s="90"/>
      <c r="IC16" s="90"/>
      <c r="ID16" s="90"/>
      <c r="IE16" s="90"/>
      <c r="IF16" s="90"/>
      <c r="IG16" s="90"/>
      <c r="IH16" s="90"/>
      <c r="II16" s="90"/>
      <c r="IJ16" s="90"/>
      <c r="IK16" s="90"/>
      <c r="IL16" s="90"/>
      <c r="IM16" s="90"/>
      <c r="IN16" s="90"/>
      <c r="IO16" s="90"/>
      <c r="IP16" s="90"/>
      <c r="IQ16" s="90"/>
      <c r="IR16" s="90"/>
      <c r="IS16" s="90"/>
    </row>
    <row r="17" spans="2:253" ht="12" customHeight="1" thickBot="1" x14ac:dyDescent="0.25">
      <c r="B17" s="368"/>
      <c r="C17" s="86" t="str">
        <f>RecordingSheet!D91</f>
        <v>Emma Gallagher</v>
      </c>
      <c r="D17" s="87">
        <f>RecordingSheet!F91</f>
        <v>22.33</v>
      </c>
      <c r="E17" s="110"/>
      <c r="F17" s="368"/>
      <c r="G17" s="86" t="str">
        <f>RecordingSheet!D97</f>
        <v>Kevin Mc Macken</v>
      </c>
      <c r="H17" s="87">
        <f>RecordingSheet!F97</f>
        <v>20.91</v>
      </c>
      <c r="I17" s="90"/>
      <c r="J17" s="365"/>
      <c r="K17" s="365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  <c r="HA17" s="90"/>
      <c r="HB17" s="90"/>
      <c r="HC17" s="90"/>
      <c r="HD17" s="90"/>
      <c r="HE17" s="90"/>
      <c r="HF17" s="90"/>
      <c r="HG17" s="90"/>
      <c r="HH17" s="90"/>
      <c r="HI17" s="90"/>
      <c r="HJ17" s="90"/>
      <c r="HK17" s="90"/>
      <c r="HL17" s="90"/>
      <c r="HM17" s="90"/>
      <c r="HN17" s="90"/>
      <c r="HO17" s="90"/>
      <c r="HP17" s="90"/>
      <c r="HQ17" s="90"/>
      <c r="HR17" s="90"/>
      <c r="HS17" s="90"/>
      <c r="HT17" s="90"/>
      <c r="HU17" s="90"/>
      <c r="HV17" s="90"/>
      <c r="HW17" s="90"/>
      <c r="HX17" s="90"/>
      <c r="HY17" s="90"/>
      <c r="HZ17" s="90"/>
      <c r="IA17" s="90"/>
      <c r="IB17" s="90"/>
      <c r="IC17" s="90"/>
      <c r="ID17" s="90"/>
      <c r="IE17" s="90"/>
      <c r="IF17" s="90"/>
      <c r="IG17" s="90"/>
      <c r="IH17" s="90"/>
      <c r="II17" s="90"/>
      <c r="IJ17" s="90"/>
      <c r="IK17" s="90"/>
      <c r="IL17" s="90"/>
      <c r="IM17" s="90"/>
      <c r="IN17" s="90"/>
      <c r="IO17" s="90"/>
      <c r="IP17" s="90"/>
      <c r="IQ17" s="90"/>
      <c r="IR17" s="90"/>
      <c r="IS17" s="90"/>
    </row>
    <row r="18" spans="2:253" ht="12" customHeight="1" x14ac:dyDescent="0.2">
      <c r="B18" s="369" t="s">
        <v>36</v>
      </c>
      <c r="C18" s="84" t="str">
        <f>RecordingSheet!D145</f>
        <v>Alice Caldwell</v>
      </c>
      <c r="D18" s="85">
        <f>RecordingSheet!F145</f>
        <v>22.5</v>
      </c>
      <c r="E18" s="110"/>
      <c r="F18" s="369" t="s">
        <v>36</v>
      </c>
      <c r="G18" s="84" t="str">
        <f>RecordingSheet!D151</f>
        <v>Sam Staats Howard</v>
      </c>
      <c r="H18" s="85">
        <f>RecordingSheet!F151</f>
        <v>23.87</v>
      </c>
      <c r="I18" s="90"/>
      <c r="J18" s="365"/>
      <c r="K18" s="365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  <c r="HA18" s="90"/>
      <c r="HB18" s="90"/>
      <c r="HC18" s="90"/>
      <c r="HD18" s="90"/>
      <c r="HE18" s="90"/>
      <c r="HF18" s="90"/>
      <c r="HG18" s="90"/>
      <c r="HH18" s="90"/>
      <c r="HI18" s="90"/>
      <c r="HJ18" s="90"/>
      <c r="HK18" s="90"/>
      <c r="HL18" s="90"/>
      <c r="HM18" s="90"/>
      <c r="HN18" s="90"/>
      <c r="HO18" s="90"/>
      <c r="HP18" s="90"/>
      <c r="HQ18" s="90"/>
      <c r="HR18" s="90"/>
      <c r="HS18" s="90"/>
      <c r="HT18" s="90"/>
      <c r="HU18" s="90"/>
      <c r="HV18" s="90"/>
      <c r="HW18" s="90"/>
      <c r="HX18" s="90"/>
      <c r="HY18" s="90"/>
      <c r="HZ18" s="90"/>
      <c r="IA18" s="90"/>
      <c r="IB18" s="90"/>
      <c r="IC18" s="90"/>
      <c r="ID18" s="90"/>
      <c r="IE18" s="90"/>
      <c r="IF18" s="90"/>
      <c r="IG18" s="90"/>
      <c r="IH18" s="90"/>
      <c r="II18" s="90"/>
      <c r="IJ18" s="90"/>
      <c r="IK18" s="90"/>
      <c r="IL18" s="90"/>
      <c r="IM18" s="90"/>
      <c r="IN18" s="90"/>
      <c r="IO18" s="90"/>
      <c r="IP18" s="90"/>
      <c r="IQ18" s="90"/>
      <c r="IR18" s="90"/>
      <c r="IS18" s="90"/>
    </row>
    <row r="19" spans="2:253" ht="12" customHeight="1" thickBot="1" x14ac:dyDescent="0.25">
      <c r="B19" s="368" t="s">
        <v>36</v>
      </c>
      <c r="C19" s="86" t="str">
        <f>RecordingSheet!D146</f>
        <v>Emma Gallagher</v>
      </c>
      <c r="D19" s="87">
        <f>RecordingSheet!F146</f>
        <v>26.34</v>
      </c>
      <c r="E19" s="110"/>
      <c r="F19" s="368" t="s">
        <v>36</v>
      </c>
      <c r="G19" s="86" t="str">
        <f>RecordingSheet!D152</f>
        <v>Kevin Mc Macken</v>
      </c>
      <c r="H19" s="87">
        <f>RecordingSheet!F152</f>
        <v>25.5</v>
      </c>
      <c r="I19" s="90"/>
      <c r="J19" s="365"/>
      <c r="K19" s="365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  <c r="HA19" s="90"/>
      <c r="HB19" s="90"/>
      <c r="HC19" s="90"/>
      <c r="HD19" s="90"/>
      <c r="HE19" s="90"/>
      <c r="HF19" s="90"/>
      <c r="HG19" s="90"/>
      <c r="HH19" s="90"/>
      <c r="HI19" s="90"/>
      <c r="HJ19" s="90"/>
      <c r="HK19" s="90"/>
      <c r="HL19" s="90"/>
      <c r="HM19" s="90"/>
      <c r="HN19" s="90"/>
      <c r="HO19" s="90"/>
      <c r="HP19" s="90"/>
      <c r="HQ19" s="90"/>
      <c r="HR19" s="90"/>
      <c r="HS19" s="90"/>
      <c r="HT19" s="90"/>
      <c r="HU19" s="90"/>
      <c r="HV19" s="90"/>
      <c r="HW19" s="90"/>
      <c r="HX19" s="90"/>
      <c r="HY19" s="90"/>
      <c r="HZ19" s="90"/>
      <c r="IA19" s="90"/>
      <c r="IB19" s="90"/>
      <c r="IC19" s="90"/>
      <c r="ID19" s="90"/>
      <c r="IE19" s="90"/>
      <c r="IF19" s="90"/>
      <c r="IG19" s="90"/>
      <c r="IH19" s="90"/>
      <c r="II19" s="90"/>
      <c r="IJ19" s="90"/>
      <c r="IK19" s="90"/>
      <c r="IL19" s="90"/>
      <c r="IM19" s="90"/>
      <c r="IN19" s="90"/>
      <c r="IO19" s="90"/>
      <c r="IP19" s="90"/>
      <c r="IQ19" s="90"/>
      <c r="IR19" s="90"/>
      <c r="IS19" s="90"/>
    </row>
    <row r="20" spans="2:253" ht="12" customHeight="1" x14ac:dyDescent="0.2">
      <c r="B20" s="369" t="s">
        <v>37</v>
      </c>
      <c r="C20" s="84" t="str">
        <f>RecordingSheet!D200</f>
        <v>Alice Caldwell</v>
      </c>
      <c r="D20" s="85">
        <f>RecordingSheet!F200</f>
        <v>20.72</v>
      </c>
      <c r="E20" s="110"/>
      <c r="F20" s="369" t="s">
        <v>37</v>
      </c>
      <c r="G20" s="84" t="str">
        <f>RecordingSheet!D206</f>
        <v>Sam Staats Howard</v>
      </c>
      <c r="H20" s="85">
        <f>RecordingSheet!F206</f>
        <v>19.34</v>
      </c>
      <c r="I20" s="90"/>
      <c r="J20" s="365"/>
      <c r="K20" s="365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  <c r="HA20" s="90"/>
      <c r="HB20" s="90"/>
      <c r="HC20" s="90"/>
      <c r="HD20" s="90"/>
      <c r="HE20" s="90"/>
      <c r="HF20" s="90"/>
      <c r="HG20" s="90"/>
      <c r="HH20" s="90"/>
      <c r="HI20" s="90"/>
      <c r="HJ20" s="90"/>
      <c r="HK20" s="90"/>
      <c r="HL20" s="90"/>
      <c r="HM20" s="90"/>
      <c r="HN20" s="90"/>
      <c r="HO20" s="90"/>
      <c r="HP20" s="90"/>
      <c r="HQ20" s="90"/>
      <c r="HR20" s="90"/>
      <c r="HS20" s="90"/>
      <c r="HT20" s="90"/>
      <c r="HU20" s="90"/>
      <c r="HV20" s="90"/>
      <c r="HW20" s="90"/>
      <c r="HX20" s="90"/>
      <c r="HY20" s="90"/>
      <c r="HZ20" s="90"/>
      <c r="IA20" s="90"/>
      <c r="IB20" s="90"/>
      <c r="IC20" s="90"/>
      <c r="ID20" s="90"/>
      <c r="IE20" s="90"/>
      <c r="IF20" s="90"/>
      <c r="IG20" s="90"/>
      <c r="IH20" s="90"/>
      <c r="II20" s="90"/>
      <c r="IJ20" s="90"/>
      <c r="IK20" s="90"/>
      <c r="IL20" s="90"/>
      <c r="IM20" s="90"/>
      <c r="IN20" s="90"/>
      <c r="IO20" s="90"/>
      <c r="IP20" s="90"/>
      <c r="IQ20" s="90"/>
      <c r="IR20" s="90"/>
      <c r="IS20" s="90"/>
    </row>
    <row r="21" spans="2:253" ht="12" customHeight="1" thickBot="1" x14ac:dyDescent="0.25">
      <c r="B21" s="368" t="s">
        <v>37</v>
      </c>
      <c r="C21" s="86" t="str">
        <f>RecordingSheet!D201</f>
        <v>Katie Keown</v>
      </c>
      <c r="D21" s="87">
        <f>RecordingSheet!F201</f>
        <v>23.25</v>
      </c>
      <c r="E21" s="110"/>
      <c r="F21" s="368" t="s">
        <v>37</v>
      </c>
      <c r="G21" s="86" t="str">
        <f>RecordingSheet!D207</f>
        <v>Kevin Mc Macken</v>
      </c>
      <c r="H21" s="87">
        <f>RecordingSheet!F207</f>
        <v>19.91</v>
      </c>
      <c r="I21" s="90"/>
      <c r="J21" s="365"/>
      <c r="K21" s="365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  <c r="HA21" s="90"/>
      <c r="HB21" s="90"/>
      <c r="HC21" s="90"/>
      <c r="HD21" s="90"/>
      <c r="HE21" s="90"/>
      <c r="HF21" s="90"/>
      <c r="HG21" s="90"/>
      <c r="HH21" s="90"/>
      <c r="HI21" s="90"/>
      <c r="HJ21" s="90"/>
      <c r="HK21" s="90"/>
      <c r="HL21" s="90"/>
      <c r="HM21" s="90"/>
      <c r="HN21" s="90"/>
      <c r="HO21" s="90"/>
      <c r="HP21" s="90"/>
      <c r="HQ21" s="90"/>
      <c r="HR21" s="90"/>
      <c r="HS21" s="90"/>
      <c r="HT21" s="90"/>
      <c r="HU21" s="90"/>
      <c r="HV21" s="90"/>
      <c r="HW21" s="90"/>
      <c r="HX21" s="90"/>
      <c r="HY21" s="90"/>
      <c r="HZ21" s="90"/>
      <c r="IA21" s="90"/>
      <c r="IB21" s="90"/>
      <c r="IC21" s="90"/>
      <c r="ID21" s="90"/>
      <c r="IE21" s="90"/>
      <c r="IF21" s="90"/>
      <c r="IG21" s="90"/>
      <c r="IH21" s="90"/>
      <c r="II21" s="90"/>
      <c r="IJ21" s="90"/>
      <c r="IK21" s="90"/>
      <c r="IL21" s="90"/>
      <c r="IM21" s="90"/>
      <c r="IN21" s="90"/>
      <c r="IO21" s="90"/>
      <c r="IP21" s="90"/>
      <c r="IQ21" s="90"/>
      <c r="IR21" s="90"/>
      <c r="IS21" s="90"/>
    </row>
    <row r="22" spans="2:253" ht="12" customHeight="1" x14ac:dyDescent="0.2">
      <c r="B22" s="369" t="s">
        <v>41</v>
      </c>
      <c r="C22" s="84" t="str">
        <f>RecordingSheet!D255</f>
        <v>Alice Caldwell</v>
      </c>
      <c r="D22" s="85">
        <f>RecordingSheet!F255</f>
        <v>17.059999999999999</v>
      </c>
      <c r="E22" s="110"/>
      <c r="F22" s="369" t="s">
        <v>41</v>
      </c>
      <c r="G22" s="84" t="str">
        <f>RecordingSheet!D261</f>
        <v>Kevin Mc Macken</v>
      </c>
      <c r="H22" s="85">
        <f>RecordingSheet!F261</f>
        <v>16.899999999999999</v>
      </c>
      <c r="I22" s="90"/>
      <c r="J22" s="365"/>
      <c r="K22" s="365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  <c r="HA22" s="90"/>
      <c r="HB22" s="90"/>
      <c r="HC22" s="90"/>
      <c r="HD22" s="90"/>
      <c r="HE22" s="90"/>
      <c r="HF22" s="90"/>
      <c r="HG22" s="90"/>
      <c r="HH22" s="90"/>
      <c r="HI22" s="90"/>
      <c r="HJ22" s="90"/>
      <c r="HK22" s="90"/>
      <c r="HL22" s="90"/>
      <c r="HM22" s="90"/>
      <c r="HN22" s="90"/>
      <c r="HO22" s="90"/>
      <c r="HP22" s="90"/>
      <c r="HQ22" s="90"/>
      <c r="HR22" s="90"/>
      <c r="HS22" s="90"/>
      <c r="HT22" s="90"/>
      <c r="HU22" s="90"/>
      <c r="HV22" s="90"/>
      <c r="HW22" s="90"/>
      <c r="HX22" s="90"/>
      <c r="HY22" s="90"/>
      <c r="HZ22" s="90"/>
      <c r="IA22" s="90"/>
      <c r="IB22" s="90"/>
      <c r="IC22" s="90"/>
      <c r="ID22" s="90"/>
      <c r="IE22" s="90"/>
      <c r="IF22" s="90"/>
      <c r="IG22" s="90"/>
      <c r="IH22" s="90"/>
      <c r="II22" s="90"/>
      <c r="IJ22" s="90"/>
      <c r="IK22" s="90"/>
      <c r="IL22" s="90"/>
      <c r="IM22" s="90"/>
      <c r="IN22" s="90"/>
      <c r="IO22" s="90"/>
      <c r="IP22" s="90"/>
      <c r="IQ22" s="90"/>
      <c r="IR22" s="90"/>
      <c r="IS22" s="90"/>
    </row>
    <row r="23" spans="2:253" ht="12" customHeight="1" thickBot="1" x14ac:dyDescent="0.25">
      <c r="B23" s="368" t="s">
        <v>41</v>
      </c>
      <c r="C23" s="86" t="str">
        <f>RecordingSheet!D256</f>
        <v>Katie Keown</v>
      </c>
      <c r="D23" s="87">
        <f>RecordingSheet!F256</f>
        <v>19.12</v>
      </c>
      <c r="E23" s="110"/>
      <c r="F23" s="368" t="s">
        <v>41</v>
      </c>
      <c r="G23" s="86" t="str">
        <f>RecordingSheet!D262</f>
        <v>Sam Staats Howard</v>
      </c>
      <c r="H23" s="87">
        <f>RecordingSheet!F262</f>
        <v>18.03</v>
      </c>
      <c r="I23" s="90"/>
      <c r="J23" s="366"/>
      <c r="K23" s="366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  <c r="HA23" s="90"/>
      <c r="HB23" s="90"/>
      <c r="HC23" s="90"/>
      <c r="HD23" s="90"/>
      <c r="HE23" s="90"/>
      <c r="HF23" s="90"/>
      <c r="HG23" s="90"/>
      <c r="HH23" s="90"/>
      <c r="HI23" s="90"/>
      <c r="HJ23" s="90"/>
      <c r="HK23" s="90"/>
      <c r="HL23" s="90"/>
      <c r="HM23" s="90"/>
      <c r="HN23" s="90"/>
      <c r="HO23" s="90"/>
      <c r="HP23" s="90"/>
      <c r="HQ23" s="90"/>
      <c r="HR23" s="90"/>
      <c r="HS23" s="90"/>
      <c r="HT23" s="90"/>
      <c r="HU23" s="90"/>
      <c r="HV23" s="90"/>
      <c r="HW23" s="90"/>
      <c r="HX23" s="90"/>
      <c r="HY23" s="90"/>
      <c r="HZ23" s="90"/>
      <c r="IA23" s="90"/>
      <c r="IB23" s="90"/>
      <c r="IC23" s="90"/>
      <c r="ID23" s="90"/>
      <c r="IE23" s="90"/>
      <c r="IF23" s="90"/>
      <c r="IG23" s="90"/>
      <c r="IH23" s="90"/>
      <c r="II23" s="90"/>
      <c r="IJ23" s="90"/>
      <c r="IK23" s="90"/>
      <c r="IL23" s="90"/>
      <c r="IM23" s="90"/>
      <c r="IN23" s="90"/>
      <c r="IO23" s="90"/>
      <c r="IP23" s="90"/>
      <c r="IQ23" s="90"/>
      <c r="IR23" s="90"/>
      <c r="IS23" s="90"/>
    </row>
    <row r="24" spans="2:253" ht="12.95" customHeight="1" thickBot="1" x14ac:dyDescent="0.25">
      <c r="B24" s="106"/>
      <c r="C24" s="107"/>
      <c r="D24" s="108"/>
      <c r="F24" s="106"/>
      <c r="G24" s="107"/>
      <c r="H24" s="10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  <c r="HA24" s="90"/>
      <c r="HB24" s="90"/>
      <c r="HC24" s="90"/>
      <c r="HD24" s="90"/>
      <c r="HE24" s="90"/>
      <c r="HF24" s="90"/>
      <c r="HG24" s="90"/>
      <c r="HH24" s="90"/>
      <c r="HI24" s="90"/>
      <c r="HJ24" s="90"/>
      <c r="HK24" s="90"/>
      <c r="HL24" s="90"/>
      <c r="HM24" s="90"/>
      <c r="HN24" s="90"/>
      <c r="HO24" s="90"/>
      <c r="HP24" s="90"/>
      <c r="HQ24" s="90"/>
      <c r="HR24" s="90"/>
      <c r="HS24" s="90"/>
      <c r="HT24" s="90"/>
      <c r="HU24" s="90"/>
      <c r="HV24" s="90"/>
      <c r="HW24" s="90"/>
      <c r="HX24" s="90"/>
      <c r="HY24" s="90"/>
      <c r="HZ24" s="90"/>
      <c r="IA24" s="90"/>
      <c r="IB24" s="90"/>
      <c r="IC24" s="90"/>
      <c r="ID24" s="90"/>
      <c r="IE24" s="90"/>
      <c r="IF24" s="90"/>
      <c r="IG24" s="90"/>
      <c r="IH24" s="90"/>
      <c r="II24" s="90"/>
      <c r="IJ24" s="90"/>
      <c r="IK24" s="90"/>
      <c r="IL24" s="90"/>
      <c r="IM24" s="90"/>
      <c r="IN24" s="90"/>
      <c r="IO24" s="90"/>
      <c r="IP24" s="90"/>
      <c r="IQ24" s="90"/>
      <c r="IR24" s="90"/>
      <c r="IS24" s="90"/>
    </row>
    <row r="25" spans="2:253" ht="12.95" customHeight="1" thickBot="1" x14ac:dyDescent="0.25">
      <c r="B25" s="372" t="s">
        <v>79</v>
      </c>
      <c r="C25" s="373"/>
      <c r="D25" s="374"/>
      <c r="E25" s="109"/>
      <c r="F25" s="372" t="s">
        <v>80</v>
      </c>
      <c r="G25" s="373"/>
      <c r="H25" s="374"/>
      <c r="I25" s="90"/>
      <c r="J25" s="173" t="s">
        <v>134</v>
      </c>
      <c r="K25" s="173" t="s">
        <v>135</v>
      </c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  <c r="HA25" s="90"/>
      <c r="HB25" s="90"/>
      <c r="HC25" s="90"/>
      <c r="HD25" s="90"/>
      <c r="HE25" s="90"/>
      <c r="HF25" s="90"/>
      <c r="HG25" s="90"/>
      <c r="HH25" s="90"/>
      <c r="HI25" s="90"/>
      <c r="HJ25" s="90"/>
      <c r="HK25" s="90"/>
      <c r="HL25" s="90"/>
      <c r="HM25" s="90"/>
      <c r="HN25" s="90"/>
      <c r="HO25" s="90"/>
      <c r="HP25" s="90"/>
      <c r="HQ25" s="90"/>
      <c r="HR25" s="90"/>
      <c r="HS25" s="90"/>
      <c r="HT25" s="90"/>
      <c r="HU25" s="90"/>
      <c r="HV25" s="90"/>
      <c r="HW25" s="90"/>
      <c r="HX25" s="90"/>
      <c r="HY25" s="90"/>
      <c r="HZ25" s="90"/>
      <c r="IA25" s="90"/>
      <c r="IB25" s="90"/>
      <c r="IC25" s="90"/>
      <c r="ID25" s="90"/>
      <c r="IE25" s="90"/>
      <c r="IF25" s="90"/>
      <c r="IG25" s="90"/>
      <c r="IH25" s="90"/>
      <c r="II25" s="90"/>
      <c r="IJ25" s="90"/>
      <c r="IK25" s="90"/>
      <c r="IL25" s="90"/>
      <c r="IM25" s="90"/>
      <c r="IN25" s="90"/>
      <c r="IO25" s="90"/>
      <c r="IP25" s="90"/>
      <c r="IQ25" s="90"/>
      <c r="IR25" s="90"/>
      <c r="IS25" s="90"/>
    </row>
    <row r="26" spans="2:253" ht="12" customHeight="1" x14ac:dyDescent="0.2">
      <c r="B26" s="367" t="s">
        <v>30</v>
      </c>
      <c r="C26" s="84" t="str">
        <f>RecordingSheet!D102</f>
        <v>Anna Mc Gookin</v>
      </c>
      <c r="D26" s="85">
        <f>RecordingSheet!F102</f>
        <v>19.75</v>
      </c>
      <c r="E26" s="110"/>
      <c r="F26" s="367" t="s">
        <v>30</v>
      </c>
      <c r="G26" s="84" t="str">
        <f>RecordingSheet!D108</f>
        <v>Cailean Gallagher</v>
      </c>
      <c r="H26" s="85">
        <f>RecordingSheet!F108</f>
        <v>18.78</v>
      </c>
      <c r="I26" s="90"/>
      <c r="J26" s="364" t="str">
        <f>IF(RecordingSheet!F49="","",RecordingSheet!F49)</f>
        <v>1.19.94</v>
      </c>
      <c r="K26" s="375" t="str">
        <f>IF(RecordingSheet!F332="","",RecordingSheet!F332)</f>
        <v>1.11.97</v>
      </c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  <c r="HA26" s="90"/>
      <c r="HB26" s="90"/>
      <c r="HC26" s="90"/>
      <c r="HD26" s="90"/>
      <c r="HE26" s="90"/>
      <c r="HF26" s="90"/>
      <c r="HG26" s="90"/>
      <c r="HH26" s="90"/>
      <c r="HI26" s="90"/>
      <c r="HJ26" s="90"/>
      <c r="HK26" s="90"/>
      <c r="HL26" s="90"/>
      <c r="HM26" s="90"/>
      <c r="HN26" s="90"/>
      <c r="HO26" s="90"/>
      <c r="HP26" s="90"/>
      <c r="HQ26" s="90"/>
      <c r="HR26" s="90"/>
      <c r="HS26" s="90"/>
      <c r="HT26" s="90"/>
      <c r="HU26" s="90"/>
      <c r="HV26" s="90"/>
      <c r="HW26" s="90"/>
      <c r="HX26" s="90"/>
      <c r="HY26" s="90"/>
      <c r="HZ26" s="90"/>
      <c r="IA26" s="90"/>
      <c r="IB26" s="90"/>
      <c r="IC26" s="90"/>
      <c r="ID26" s="90"/>
      <c r="IE26" s="90"/>
      <c r="IF26" s="90"/>
      <c r="IG26" s="90"/>
      <c r="IH26" s="90"/>
      <c r="II26" s="90"/>
      <c r="IJ26" s="90"/>
      <c r="IK26" s="90"/>
      <c r="IL26" s="90"/>
      <c r="IM26" s="90"/>
      <c r="IN26" s="90"/>
      <c r="IO26" s="90"/>
      <c r="IP26" s="90"/>
      <c r="IQ26" s="90"/>
      <c r="IR26" s="90"/>
      <c r="IS26" s="90"/>
    </row>
    <row r="27" spans="2:253" ht="12" customHeight="1" thickBot="1" x14ac:dyDescent="0.25">
      <c r="B27" s="368"/>
      <c r="C27" s="86" t="str">
        <f>RecordingSheet!D103</f>
        <v>Amy Mc Gurk</v>
      </c>
      <c r="D27" s="87">
        <f>RecordingSheet!F103</f>
        <v>20.49</v>
      </c>
      <c r="E27" s="110"/>
      <c r="F27" s="368"/>
      <c r="G27" s="86" t="str">
        <f>RecordingSheet!D109</f>
        <v>Oliver Smith</v>
      </c>
      <c r="H27" s="87">
        <f>RecordingSheet!F109</f>
        <v>20.79</v>
      </c>
      <c r="I27" s="90"/>
      <c r="J27" s="365"/>
      <c r="K27" s="365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  <c r="HA27" s="90"/>
      <c r="HB27" s="90"/>
      <c r="HC27" s="90"/>
      <c r="HD27" s="90"/>
      <c r="HE27" s="90"/>
      <c r="HF27" s="90"/>
      <c r="HG27" s="90"/>
      <c r="HH27" s="90"/>
      <c r="HI27" s="90"/>
      <c r="HJ27" s="90"/>
      <c r="HK27" s="90"/>
      <c r="HL27" s="90"/>
      <c r="HM27" s="90"/>
      <c r="HN27" s="90"/>
      <c r="HO27" s="90"/>
      <c r="HP27" s="90"/>
      <c r="HQ27" s="90"/>
      <c r="HR27" s="90"/>
      <c r="HS27" s="90"/>
      <c r="HT27" s="90"/>
      <c r="HU27" s="90"/>
      <c r="HV27" s="90"/>
      <c r="HW27" s="90"/>
      <c r="HX27" s="90"/>
      <c r="HY27" s="90"/>
      <c r="HZ27" s="90"/>
      <c r="IA27" s="90"/>
      <c r="IB27" s="90"/>
      <c r="IC27" s="90"/>
      <c r="ID27" s="90"/>
      <c r="IE27" s="90"/>
      <c r="IF27" s="90"/>
      <c r="IG27" s="90"/>
      <c r="IH27" s="90"/>
      <c r="II27" s="90"/>
      <c r="IJ27" s="90"/>
      <c r="IK27" s="90"/>
      <c r="IL27" s="90"/>
      <c r="IM27" s="90"/>
      <c r="IN27" s="90"/>
      <c r="IO27" s="90"/>
      <c r="IP27" s="90"/>
      <c r="IQ27" s="90"/>
      <c r="IR27" s="90"/>
      <c r="IS27" s="90"/>
    </row>
    <row r="28" spans="2:253" ht="12" customHeight="1" x14ac:dyDescent="0.2">
      <c r="B28" s="369" t="s">
        <v>36</v>
      </c>
      <c r="C28" s="84" t="str">
        <f>RecordingSheet!D157</f>
        <v>Brooke Mc Clamont</v>
      </c>
      <c r="D28" s="85">
        <f>RecordingSheet!F157</f>
        <v>24.46</v>
      </c>
      <c r="E28" s="110"/>
      <c r="F28" s="369" t="s">
        <v>36</v>
      </c>
      <c r="G28" s="84" t="str">
        <f>RecordingSheet!D163</f>
        <v>Cailean Gallagher</v>
      </c>
      <c r="H28" s="85">
        <f>RecordingSheet!F163</f>
        <v>20.94</v>
      </c>
      <c r="I28" s="90"/>
      <c r="J28" s="365"/>
      <c r="K28" s="365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  <c r="HA28" s="90"/>
      <c r="HB28" s="90"/>
      <c r="HC28" s="90"/>
      <c r="HD28" s="90"/>
      <c r="HE28" s="90"/>
      <c r="HF28" s="90"/>
      <c r="HG28" s="90"/>
      <c r="HH28" s="90"/>
      <c r="HI28" s="90"/>
      <c r="HJ28" s="90"/>
      <c r="HK28" s="90"/>
      <c r="HL28" s="90"/>
      <c r="HM28" s="90"/>
      <c r="HN28" s="90"/>
      <c r="HO28" s="90"/>
      <c r="HP28" s="90"/>
      <c r="HQ28" s="90"/>
      <c r="HR28" s="90"/>
      <c r="HS28" s="90"/>
      <c r="HT28" s="90"/>
      <c r="HU28" s="90"/>
      <c r="HV28" s="90"/>
      <c r="HW28" s="90"/>
      <c r="HX28" s="90"/>
      <c r="HY28" s="90"/>
      <c r="HZ28" s="90"/>
      <c r="IA28" s="90"/>
      <c r="IB28" s="90"/>
      <c r="IC28" s="90"/>
      <c r="ID28" s="90"/>
      <c r="IE28" s="90"/>
      <c r="IF28" s="90"/>
      <c r="IG28" s="90"/>
      <c r="IH28" s="90"/>
      <c r="II28" s="90"/>
      <c r="IJ28" s="90"/>
      <c r="IK28" s="90"/>
      <c r="IL28" s="90"/>
      <c r="IM28" s="90"/>
      <c r="IN28" s="90"/>
      <c r="IO28" s="90"/>
      <c r="IP28" s="90"/>
      <c r="IQ28" s="90"/>
      <c r="IR28" s="90"/>
      <c r="IS28" s="90"/>
    </row>
    <row r="29" spans="2:253" ht="12" customHeight="1" thickBot="1" x14ac:dyDescent="0.25">
      <c r="B29" s="368" t="s">
        <v>36</v>
      </c>
      <c r="C29" s="86" t="str">
        <f>RecordingSheet!D158</f>
        <v>Ellie Lundy</v>
      </c>
      <c r="D29" s="87">
        <f>RecordingSheet!F158</f>
        <v>21.56</v>
      </c>
      <c r="E29" s="110"/>
      <c r="F29" s="368" t="s">
        <v>36</v>
      </c>
      <c r="G29" s="86" t="str">
        <f>RecordingSheet!D164</f>
        <v>Alexander Blaha</v>
      </c>
      <c r="H29" s="87">
        <f>RecordingSheet!F164</f>
        <v>23.12</v>
      </c>
      <c r="I29" s="90"/>
      <c r="J29" s="365"/>
      <c r="K29" s="365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  <c r="HA29" s="90"/>
      <c r="HB29" s="90"/>
      <c r="HC29" s="90"/>
      <c r="HD29" s="90"/>
      <c r="HE29" s="90"/>
      <c r="HF29" s="90"/>
      <c r="HG29" s="90"/>
      <c r="HH29" s="90"/>
      <c r="HI29" s="90"/>
      <c r="HJ29" s="90"/>
      <c r="HK29" s="90"/>
      <c r="HL29" s="90"/>
      <c r="HM29" s="90"/>
      <c r="HN29" s="90"/>
      <c r="HO29" s="90"/>
      <c r="HP29" s="90"/>
      <c r="HQ29" s="90"/>
      <c r="HR29" s="90"/>
      <c r="HS29" s="90"/>
      <c r="HT29" s="90"/>
      <c r="HU29" s="90"/>
      <c r="HV29" s="90"/>
      <c r="HW29" s="90"/>
      <c r="HX29" s="90"/>
      <c r="HY29" s="90"/>
      <c r="HZ29" s="90"/>
      <c r="IA29" s="90"/>
      <c r="IB29" s="90"/>
      <c r="IC29" s="90"/>
      <c r="ID29" s="90"/>
      <c r="IE29" s="90"/>
      <c r="IF29" s="90"/>
      <c r="IG29" s="90"/>
      <c r="IH29" s="90"/>
      <c r="II29" s="90"/>
      <c r="IJ29" s="90"/>
      <c r="IK29" s="90"/>
      <c r="IL29" s="90"/>
      <c r="IM29" s="90"/>
      <c r="IN29" s="90"/>
      <c r="IO29" s="90"/>
      <c r="IP29" s="90"/>
      <c r="IQ29" s="90"/>
      <c r="IR29" s="90"/>
      <c r="IS29" s="90"/>
    </row>
    <row r="30" spans="2:253" ht="12" customHeight="1" x14ac:dyDescent="0.2">
      <c r="B30" s="369" t="s">
        <v>37</v>
      </c>
      <c r="C30" s="194" t="str">
        <f>RecordingSheet!D212</f>
        <v>Anna Mc Gookin</v>
      </c>
      <c r="D30" s="85">
        <f>RecordingSheet!F212</f>
        <v>18.41</v>
      </c>
      <c r="E30" s="110"/>
      <c r="F30" s="369" t="s">
        <v>37</v>
      </c>
      <c r="G30" s="84" t="str">
        <f>RecordingSheet!D218</f>
        <v>Cailean Gallagher</v>
      </c>
      <c r="H30" s="85">
        <f>RecordingSheet!F218</f>
        <v>19</v>
      </c>
      <c r="I30" s="90"/>
      <c r="J30" s="365"/>
      <c r="K30" s="365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  <c r="HA30" s="90"/>
      <c r="HB30" s="90"/>
      <c r="HC30" s="90"/>
      <c r="HD30" s="90"/>
      <c r="HE30" s="90"/>
      <c r="HF30" s="90"/>
      <c r="HG30" s="90"/>
      <c r="HH30" s="90"/>
      <c r="HI30" s="90"/>
      <c r="HJ30" s="90"/>
      <c r="HK30" s="90"/>
      <c r="HL30" s="90"/>
      <c r="HM30" s="90"/>
      <c r="HN30" s="90"/>
      <c r="HO30" s="90"/>
      <c r="HP30" s="90"/>
      <c r="HQ30" s="90"/>
      <c r="HR30" s="90"/>
      <c r="HS30" s="90"/>
      <c r="HT30" s="90"/>
      <c r="HU30" s="90"/>
      <c r="HV30" s="90"/>
      <c r="HW30" s="90"/>
      <c r="HX30" s="90"/>
      <c r="HY30" s="90"/>
      <c r="HZ30" s="90"/>
      <c r="IA30" s="90"/>
      <c r="IB30" s="90"/>
      <c r="IC30" s="90"/>
      <c r="ID30" s="90"/>
      <c r="IE30" s="90"/>
      <c r="IF30" s="90"/>
      <c r="IG30" s="90"/>
      <c r="IH30" s="90"/>
      <c r="II30" s="90"/>
      <c r="IJ30" s="90"/>
      <c r="IK30" s="90"/>
      <c r="IL30" s="90"/>
      <c r="IM30" s="90"/>
      <c r="IN30" s="90"/>
      <c r="IO30" s="90"/>
      <c r="IP30" s="90"/>
      <c r="IQ30" s="90"/>
      <c r="IR30" s="90"/>
      <c r="IS30" s="90"/>
    </row>
    <row r="31" spans="2:253" ht="12" customHeight="1" thickBot="1" x14ac:dyDescent="0.25">
      <c r="B31" s="368" t="s">
        <v>37</v>
      </c>
      <c r="C31" s="86" t="str">
        <f>RecordingSheet!D213</f>
        <v>Brooke Mc Clamont</v>
      </c>
      <c r="D31" s="87">
        <f>RecordingSheet!F213</f>
        <v>20.29</v>
      </c>
      <c r="E31" s="110"/>
      <c r="F31" s="368" t="s">
        <v>37</v>
      </c>
      <c r="G31" s="86" t="str">
        <f>RecordingSheet!D219</f>
        <v>Oliver Smith</v>
      </c>
      <c r="H31" s="87">
        <f>RecordingSheet!F219</f>
        <v>21.56</v>
      </c>
      <c r="I31" s="90"/>
      <c r="J31" s="365"/>
      <c r="K31" s="365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  <c r="HA31" s="90"/>
      <c r="HB31" s="90"/>
      <c r="HC31" s="90"/>
      <c r="HD31" s="90"/>
      <c r="HE31" s="90"/>
      <c r="HF31" s="90"/>
      <c r="HG31" s="90"/>
      <c r="HH31" s="90"/>
      <c r="HI31" s="90"/>
      <c r="HJ31" s="90"/>
      <c r="HK31" s="90"/>
      <c r="HL31" s="90"/>
      <c r="HM31" s="90"/>
      <c r="HN31" s="90"/>
      <c r="HO31" s="90"/>
      <c r="HP31" s="90"/>
      <c r="HQ31" s="90"/>
      <c r="HR31" s="90"/>
      <c r="HS31" s="90"/>
      <c r="HT31" s="90"/>
      <c r="HU31" s="90"/>
      <c r="HV31" s="90"/>
      <c r="HW31" s="90"/>
      <c r="HX31" s="90"/>
      <c r="HY31" s="90"/>
      <c r="HZ31" s="90"/>
      <c r="IA31" s="90"/>
      <c r="IB31" s="90"/>
      <c r="IC31" s="90"/>
      <c r="ID31" s="90"/>
      <c r="IE31" s="90"/>
      <c r="IF31" s="90"/>
      <c r="IG31" s="90"/>
      <c r="IH31" s="90"/>
      <c r="II31" s="90"/>
      <c r="IJ31" s="90"/>
      <c r="IK31" s="90"/>
      <c r="IL31" s="90"/>
      <c r="IM31" s="90"/>
      <c r="IN31" s="90"/>
      <c r="IO31" s="90"/>
      <c r="IP31" s="90"/>
      <c r="IQ31" s="90"/>
      <c r="IR31" s="90"/>
      <c r="IS31" s="90"/>
    </row>
    <row r="32" spans="2:253" ht="12" customHeight="1" x14ac:dyDescent="0.2">
      <c r="B32" s="369" t="s">
        <v>41</v>
      </c>
      <c r="C32" s="194" t="str">
        <f>RecordingSheet!D267</f>
        <v>Anna Mc Gookin</v>
      </c>
      <c r="D32" s="85">
        <f>RecordingSheet!F267</f>
        <v>16.88</v>
      </c>
      <c r="E32" s="110"/>
      <c r="F32" s="369" t="s">
        <v>41</v>
      </c>
      <c r="G32" s="84" t="str">
        <f>RecordingSheet!D273</f>
        <v>Cailean Gallagher</v>
      </c>
      <c r="H32" s="85">
        <f>RecordingSheet!F273</f>
        <v>16.68</v>
      </c>
      <c r="I32" s="90"/>
      <c r="J32" s="365"/>
      <c r="K32" s="365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  <c r="HA32" s="90"/>
      <c r="HB32" s="90"/>
      <c r="HC32" s="90"/>
      <c r="HD32" s="90"/>
      <c r="HE32" s="90"/>
      <c r="HF32" s="90"/>
      <c r="HG32" s="90"/>
      <c r="HH32" s="90"/>
      <c r="HI32" s="90"/>
      <c r="HJ32" s="90"/>
      <c r="HK32" s="90"/>
      <c r="HL32" s="90"/>
      <c r="HM32" s="90"/>
      <c r="HN32" s="90"/>
      <c r="HO32" s="90"/>
      <c r="HP32" s="90"/>
      <c r="HQ32" s="90"/>
      <c r="HR32" s="90"/>
      <c r="HS32" s="90"/>
      <c r="HT32" s="90"/>
      <c r="HU32" s="90"/>
      <c r="HV32" s="90"/>
      <c r="HW32" s="90"/>
      <c r="HX32" s="90"/>
      <c r="HY32" s="90"/>
      <c r="HZ32" s="90"/>
      <c r="IA32" s="90"/>
      <c r="IB32" s="90"/>
      <c r="IC32" s="90"/>
      <c r="ID32" s="90"/>
      <c r="IE32" s="90"/>
      <c r="IF32" s="90"/>
      <c r="IG32" s="90"/>
      <c r="IH32" s="90"/>
      <c r="II32" s="90"/>
      <c r="IJ32" s="90"/>
      <c r="IK32" s="90"/>
      <c r="IL32" s="90"/>
      <c r="IM32" s="90"/>
      <c r="IN32" s="90"/>
      <c r="IO32" s="90"/>
      <c r="IP32" s="90"/>
      <c r="IQ32" s="90"/>
      <c r="IR32" s="90"/>
      <c r="IS32" s="90"/>
    </row>
    <row r="33" spans="2:253" ht="12" customHeight="1" thickBot="1" x14ac:dyDescent="0.25">
      <c r="B33" s="368" t="s">
        <v>41</v>
      </c>
      <c r="C33" s="86" t="str">
        <f>RecordingSheet!D268</f>
        <v>Brooke Mc Clamont</v>
      </c>
      <c r="D33" s="87">
        <f>RecordingSheet!F268</f>
        <v>17.54</v>
      </c>
      <c r="E33" s="110"/>
      <c r="F33" s="368" t="s">
        <v>41</v>
      </c>
      <c r="G33" s="86" t="str">
        <f>RecordingSheet!D274</f>
        <v>Oliver Smith</v>
      </c>
      <c r="H33" s="87">
        <f>RecordingSheet!F274</f>
        <v>18.47</v>
      </c>
      <c r="I33" s="90"/>
      <c r="J33" s="366"/>
      <c r="K33" s="366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  <c r="HA33" s="90"/>
      <c r="HB33" s="90"/>
      <c r="HC33" s="90"/>
      <c r="HD33" s="90"/>
      <c r="HE33" s="90"/>
      <c r="HF33" s="90"/>
      <c r="HG33" s="90"/>
      <c r="HH33" s="90"/>
      <c r="HI33" s="90"/>
      <c r="HJ33" s="90"/>
      <c r="HK33" s="90"/>
      <c r="HL33" s="90"/>
      <c r="HM33" s="90"/>
      <c r="HN33" s="90"/>
      <c r="HO33" s="90"/>
      <c r="HP33" s="90"/>
      <c r="HQ33" s="90"/>
      <c r="HR33" s="90"/>
      <c r="HS33" s="90"/>
      <c r="HT33" s="90"/>
      <c r="HU33" s="90"/>
      <c r="HV33" s="90"/>
      <c r="HW33" s="90"/>
      <c r="HX33" s="90"/>
      <c r="HY33" s="90"/>
      <c r="HZ33" s="90"/>
      <c r="IA33" s="90"/>
      <c r="IB33" s="90"/>
      <c r="IC33" s="90"/>
      <c r="ID33" s="90"/>
      <c r="IE33" s="90"/>
      <c r="IF33" s="90"/>
      <c r="IG33" s="90"/>
      <c r="IH33" s="90"/>
      <c r="II33" s="90"/>
      <c r="IJ33" s="90"/>
      <c r="IK33" s="90"/>
      <c r="IL33" s="90"/>
      <c r="IM33" s="90"/>
      <c r="IN33" s="90"/>
      <c r="IO33" s="90"/>
      <c r="IP33" s="90"/>
      <c r="IQ33" s="90"/>
      <c r="IR33" s="90"/>
      <c r="IS33" s="90"/>
    </row>
    <row r="34" spans="2:253" ht="12.95" customHeight="1" thickBot="1" x14ac:dyDescent="0.25">
      <c r="B34" s="106"/>
      <c r="C34" s="107"/>
      <c r="D34" s="108"/>
      <c r="F34" s="106"/>
      <c r="G34" s="107"/>
      <c r="H34" s="10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  <c r="HA34" s="90"/>
      <c r="HB34" s="90"/>
      <c r="HC34" s="90"/>
      <c r="HD34" s="90"/>
      <c r="HE34" s="90"/>
      <c r="HF34" s="90"/>
      <c r="HG34" s="90"/>
      <c r="HH34" s="90"/>
      <c r="HI34" s="90"/>
      <c r="HJ34" s="90"/>
      <c r="HK34" s="90"/>
      <c r="HL34" s="90"/>
      <c r="HM34" s="90"/>
      <c r="HN34" s="90"/>
      <c r="HO34" s="90"/>
      <c r="HP34" s="90"/>
      <c r="HQ34" s="90"/>
      <c r="HR34" s="90"/>
      <c r="HS34" s="90"/>
      <c r="HT34" s="90"/>
      <c r="HU34" s="90"/>
      <c r="HV34" s="90"/>
      <c r="HW34" s="90"/>
      <c r="HX34" s="90"/>
      <c r="HY34" s="90"/>
      <c r="HZ34" s="90"/>
      <c r="IA34" s="90"/>
      <c r="IB34" s="90"/>
      <c r="IC34" s="90"/>
      <c r="ID34" s="90"/>
      <c r="IE34" s="90"/>
      <c r="IF34" s="90"/>
      <c r="IG34" s="90"/>
      <c r="IH34" s="90"/>
      <c r="II34" s="90"/>
      <c r="IJ34" s="90"/>
      <c r="IK34" s="90"/>
      <c r="IL34" s="90"/>
      <c r="IM34" s="90"/>
      <c r="IN34" s="90"/>
      <c r="IO34" s="90"/>
      <c r="IP34" s="90"/>
      <c r="IQ34" s="90"/>
      <c r="IR34" s="90"/>
      <c r="IS34" s="90"/>
    </row>
    <row r="35" spans="2:253" ht="12.95" customHeight="1" thickBot="1" x14ac:dyDescent="0.25">
      <c r="B35" s="372" t="s">
        <v>81</v>
      </c>
      <c r="C35" s="373"/>
      <c r="D35" s="374"/>
      <c r="E35" s="109"/>
      <c r="F35" s="372" t="s">
        <v>82</v>
      </c>
      <c r="G35" s="373"/>
      <c r="H35" s="374"/>
      <c r="I35" s="90"/>
      <c r="J35" s="173" t="s">
        <v>134</v>
      </c>
      <c r="K35" s="173" t="s">
        <v>135</v>
      </c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  <c r="HA35" s="90"/>
      <c r="HB35" s="90"/>
      <c r="HC35" s="90"/>
      <c r="HD35" s="90"/>
      <c r="HE35" s="90"/>
      <c r="HF35" s="90"/>
      <c r="HG35" s="90"/>
      <c r="HH35" s="90"/>
      <c r="HI35" s="90"/>
      <c r="HJ35" s="90"/>
      <c r="HK35" s="90"/>
      <c r="HL35" s="90"/>
      <c r="HM35" s="90"/>
      <c r="HN35" s="90"/>
      <c r="HO35" s="90"/>
      <c r="HP35" s="90"/>
      <c r="HQ35" s="90"/>
      <c r="HR35" s="90"/>
      <c r="HS35" s="90"/>
      <c r="HT35" s="90"/>
      <c r="HU35" s="90"/>
      <c r="HV35" s="90"/>
      <c r="HW35" s="90"/>
      <c r="HX35" s="90"/>
      <c r="HY35" s="90"/>
      <c r="HZ35" s="90"/>
      <c r="IA35" s="90"/>
      <c r="IB35" s="90"/>
      <c r="IC35" s="90"/>
      <c r="ID35" s="90"/>
      <c r="IE35" s="90"/>
      <c r="IF35" s="90"/>
      <c r="IG35" s="90"/>
      <c r="IH35" s="90"/>
      <c r="II35" s="90"/>
      <c r="IJ35" s="90"/>
      <c r="IK35" s="90"/>
      <c r="IL35" s="90"/>
      <c r="IM35" s="90"/>
      <c r="IN35" s="90"/>
      <c r="IO35" s="90"/>
      <c r="IP35" s="90"/>
      <c r="IQ35" s="90"/>
      <c r="IR35" s="90"/>
      <c r="IS35" s="90"/>
    </row>
    <row r="36" spans="2:253" ht="12" customHeight="1" x14ac:dyDescent="0.2">
      <c r="B36" s="367" t="s">
        <v>30</v>
      </c>
      <c r="C36" s="84" t="str">
        <f>RecordingSheet!D114</f>
        <v>Erin Callaghan</v>
      </c>
      <c r="D36" s="85">
        <f>RecordingSheet!F114</f>
        <v>18.690000000000001</v>
      </c>
      <c r="E36" s="110"/>
      <c r="F36" s="367" t="s">
        <v>30</v>
      </c>
      <c r="G36" s="84" t="str">
        <f>RecordingSheet!D120</f>
        <v>Ben Dinsmore</v>
      </c>
      <c r="H36" s="85">
        <f>RecordingSheet!F120</f>
        <v>21.5</v>
      </c>
      <c r="I36" s="90"/>
      <c r="J36" s="364" t="str">
        <f>IF(RecordingSheet!F61="","",RecordingSheet!F61)</f>
        <v>1.19.84</v>
      </c>
      <c r="K36" s="375" t="str">
        <f>IF(RecordingSheet!F344="","",RecordingSheet!F344)</f>
        <v>1.07.29</v>
      </c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  <c r="HA36" s="90"/>
      <c r="HB36" s="90"/>
      <c r="HC36" s="90"/>
      <c r="HD36" s="90"/>
      <c r="HE36" s="90"/>
      <c r="HF36" s="90"/>
      <c r="HG36" s="90"/>
      <c r="HH36" s="90"/>
      <c r="HI36" s="90"/>
      <c r="HJ36" s="90"/>
      <c r="HK36" s="90"/>
      <c r="HL36" s="90"/>
      <c r="HM36" s="90"/>
      <c r="HN36" s="90"/>
      <c r="HO36" s="90"/>
      <c r="HP36" s="90"/>
      <c r="HQ36" s="90"/>
      <c r="HR36" s="90"/>
      <c r="HS36" s="90"/>
      <c r="HT36" s="90"/>
      <c r="HU36" s="90"/>
      <c r="HV36" s="90"/>
      <c r="HW36" s="90"/>
      <c r="HX36" s="90"/>
      <c r="HY36" s="90"/>
      <c r="HZ36" s="90"/>
      <c r="IA36" s="90"/>
      <c r="IB36" s="90"/>
      <c r="IC36" s="90"/>
      <c r="ID36" s="90"/>
      <c r="IE36" s="90"/>
      <c r="IF36" s="90"/>
      <c r="IG36" s="90"/>
      <c r="IH36" s="90"/>
      <c r="II36" s="90"/>
      <c r="IJ36" s="90"/>
      <c r="IK36" s="90"/>
      <c r="IL36" s="90"/>
      <c r="IM36" s="90"/>
      <c r="IN36" s="90"/>
      <c r="IO36" s="90"/>
      <c r="IP36" s="90"/>
      <c r="IQ36" s="90"/>
      <c r="IR36" s="90"/>
      <c r="IS36" s="90"/>
    </row>
    <row r="37" spans="2:253" ht="12" customHeight="1" thickBot="1" x14ac:dyDescent="0.25">
      <c r="B37" s="368"/>
      <c r="C37" s="86" t="str">
        <f>RecordingSheet!D115</f>
        <v>Emily Butcher</v>
      </c>
      <c r="D37" s="87">
        <f>RecordingSheet!F115</f>
        <v>18.47</v>
      </c>
      <c r="E37" s="110"/>
      <c r="F37" s="368"/>
      <c r="G37" s="86" t="str">
        <f>RecordingSheet!D121</f>
        <v>Darragh Mc Cann-Kennedy</v>
      </c>
      <c r="H37" s="87">
        <f>RecordingSheet!F121</f>
        <v>19.53</v>
      </c>
      <c r="I37" s="90"/>
      <c r="J37" s="365"/>
      <c r="K37" s="365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  <c r="HA37" s="90"/>
      <c r="HB37" s="90"/>
      <c r="HC37" s="90"/>
      <c r="HD37" s="90"/>
      <c r="HE37" s="90"/>
      <c r="HF37" s="90"/>
      <c r="HG37" s="90"/>
      <c r="HH37" s="90"/>
      <c r="HI37" s="90"/>
      <c r="HJ37" s="90"/>
      <c r="HK37" s="90"/>
      <c r="HL37" s="90"/>
      <c r="HM37" s="90"/>
      <c r="HN37" s="90"/>
      <c r="HO37" s="90"/>
      <c r="HP37" s="90"/>
      <c r="HQ37" s="90"/>
      <c r="HR37" s="90"/>
      <c r="HS37" s="90"/>
      <c r="HT37" s="90"/>
      <c r="HU37" s="90"/>
      <c r="HV37" s="90"/>
      <c r="HW37" s="90"/>
      <c r="HX37" s="90"/>
      <c r="HY37" s="90"/>
      <c r="HZ37" s="90"/>
      <c r="IA37" s="90"/>
      <c r="IB37" s="90"/>
      <c r="IC37" s="90"/>
      <c r="ID37" s="90"/>
      <c r="IE37" s="90"/>
      <c r="IF37" s="90"/>
      <c r="IG37" s="90"/>
      <c r="IH37" s="90"/>
      <c r="II37" s="90"/>
      <c r="IJ37" s="90"/>
      <c r="IK37" s="90"/>
      <c r="IL37" s="90"/>
      <c r="IM37" s="90"/>
      <c r="IN37" s="90"/>
      <c r="IO37" s="90"/>
      <c r="IP37" s="90"/>
      <c r="IQ37" s="90"/>
      <c r="IR37" s="90"/>
      <c r="IS37" s="90"/>
    </row>
    <row r="38" spans="2:253" ht="12" customHeight="1" x14ac:dyDescent="0.2">
      <c r="B38" s="369" t="s">
        <v>36</v>
      </c>
      <c r="C38" s="84" t="str">
        <f>RecordingSheet!D169</f>
        <v>Niamh Mc Henry</v>
      </c>
      <c r="D38" s="85">
        <f>RecordingSheet!F169</f>
        <v>21.7</v>
      </c>
      <c r="E38" s="110"/>
      <c r="F38" s="369" t="s">
        <v>36</v>
      </c>
      <c r="G38" s="84" t="str">
        <f>RecordingSheet!D175</f>
        <v>Joshua Hunt</v>
      </c>
      <c r="H38" s="85">
        <f>RecordingSheet!F175</f>
        <v>22.78</v>
      </c>
      <c r="I38" s="90"/>
      <c r="J38" s="365"/>
      <c r="K38" s="365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  <c r="HA38" s="90"/>
      <c r="HB38" s="90"/>
      <c r="HC38" s="90"/>
      <c r="HD38" s="90"/>
      <c r="HE38" s="90"/>
      <c r="HF38" s="90"/>
      <c r="HG38" s="90"/>
      <c r="HH38" s="90"/>
      <c r="HI38" s="90"/>
      <c r="HJ38" s="90"/>
      <c r="HK38" s="90"/>
      <c r="HL38" s="90"/>
      <c r="HM38" s="90"/>
      <c r="HN38" s="90"/>
      <c r="HO38" s="90"/>
      <c r="HP38" s="90"/>
      <c r="HQ38" s="90"/>
      <c r="HR38" s="90"/>
      <c r="HS38" s="90"/>
      <c r="HT38" s="90"/>
      <c r="HU38" s="90"/>
      <c r="HV38" s="90"/>
      <c r="HW38" s="90"/>
      <c r="HX38" s="90"/>
      <c r="HY38" s="90"/>
      <c r="HZ38" s="90"/>
      <c r="IA38" s="90"/>
      <c r="IB38" s="90"/>
      <c r="IC38" s="90"/>
      <c r="ID38" s="90"/>
      <c r="IE38" s="90"/>
      <c r="IF38" s="90"/>
      <c r="IG38" s="90"/>
      <c r="IH38" s="90"/>
      <c r="II38" s="90"/>
      <c r="IJ38" s="90"/>
      <c r="IK38" s="90"/>
      <c r="IL38" s="90"/>
      <c r="IM38" s="90"/>
      <c r="IN38" s="90"/>
      <c r="IO38" s="90"/>
      <c r="IP38" s="90"/>
      <c r="IQ38" s="90"/>
      <c r="IR38" s="90"/>
      <c r="IS38" s="90"/>
    </row>
    <row r="39" spans="2:253" ht="12" customHeight="1" thickBot="1" x14ac:dyDescent="0.25">
      <c r="B39" s="368" t="s">
        <v>36</v>
      </c>
      <c r="C39" s="86" t="str">
        <f>RecordingSheet!D170</f>
        <v>Rose Mc Laughlin</v>
      </c>
      <c r="D39" s="87">
        <f>RecordingSheet!F170</f>
        <v>22.75</v>
      </c>
      <c r="E39" s="110"/>
      <c r="F39" s="368" t="s">
        <v>36</v>
      </c>
      <c r="G39" s="86" t="str">
        <f>RecordingSheet!D176</f>
        <v>Caleb Craig</v>
      </c>
      <c r="H39" s="87">
        <f>RecordingSheet!F176</f>
        <v>23</v>
      </c>
      <c r="I39" s="90"/>
      <c r="J39" s="365"/>
      <c r="K39" s="365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  <c r="HA39" s="90"/>
      <c r="HB39" s="90"/>
      <c r="HC39" s="90"/>
      <c r="HD39" s="90"/>
      <c r="HE39" s="90"/>
      <c r="HF39" s="90"/>
      <c r="HG39" s="90"/>
      <c r="HH39" s="90"/>
      <c r="HI39" s="90"/>
      <c r="HJ39" s="90"/>
      <c r="HK39" s="90"/>
      <c r="HL39" s="90"/>
      <c r="HM39" s="90"/>
      <c r="HN39" s="90"/>
      <c r="HO39" s="90"/>
      <c r="HP39" s="90"/>
      <c r="HQ39" s="90"/>
      <c r="HR39" s="90"/>
      <c r="HS39" s="90"/>
      <c r="HT39" s="90"/>
      <c r="HU39" s="90"/>
      <c r="HV39" s="90"/>
      <c r="HW39" s="90"/>
      <c r="HX39" s="90"/>
      <c r="HY39" s="90"/>
      <c r="HZ39" s="90"/>
      <c r="IA39" s="90"/>
      <c r="IB39" s="90"/>
      <c r="IC39" s="90"/>
      <c r="ID39" s="90"/>
      <c r="IE39" s="90"/>
      <c r="IF39" s="90"/>
      <c r="IG39" s="90"/>
      <c r="IH39" s="90"/>
      <c r="II39" s="90"/>
      <c r="IJ39" s="90"/>
      <c r="IK39" s="90"/>
      <c r="IL39" s="90"/>
      <c r="IM39" s="90"/>
      <c r="IN39" s="90"/>
      <c r="IO39" s="90"/>
      <c r="IP39" s="90"/>
      <c r="IQ39" s="90"/>
      <c r="IR39" s="90"/>
      <c r="IS39" s="90"/>
    </row>
    <row r="40" spans="2:253" ht="12" customHeight="1" x14ac:dyDescent="0.2">
      <c r="B40" s="369" t="s">
        <v>37</v>
      </c>
      <c r="C40" s="84" t="str">
        <f>RecordingSheet!D224</f>
        <v>Abbi Craig</v>
      </c>
      <c r="D40" s="85">
        <f>RecordingSheet!F224</f>
        <v>18.12</v>
      </c>
      <c r="E40" s="110"/>
      <c r="F40" s="369" t="s">
        <v>37</v>
      </c>
      <c r="G40" s="84" t="str">
        <f>RecordingSheet!D230</f>
        <v>Joshua Hunt</v>
      </c>
      <c r="H40" s="85">
        <f>RecordingSheet!F230</f>
        <v>19.28</v>
      </c>
      <c r="I40" s="90"/>
      <c r="J40" s="365"/>
      <c r="K40" s="365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  <c r="HA40" s="90"/>
      <c r="HB40" s="90"/>
      <c r="HC40" s="90"/>
      <c r="HD40" s="90"/>
      <c r="HE40" s="90"/>
      <c r="HF40" s="90"/>
      <c r="HG40" s="90"/>
      <c r="HH40" s="90"/>
      <c r="HI40" s="90"/>
      <c r="HJ40" s="90"/>
      <c r="HK40" s="90"/>
      <c r="HL40" s="90"/>
      <c r="HM40" s="90"/>
      <c r="HN40" s="90"/>
      <c r="HO40" s="90"/>
      <c r="HP40" s="90"/>
      <c r="HQ40" s="90"/>
      <c r="HR40" s="90"/>
      <c r="HS40" s="90"/>
      <c r="HT40" s="90"/>
      <c r="HU40" s="90"/>
      <c r="HV40" s="90"/>
      <c r="HW40" s="90"/>
      <c r="HX40" s="90"/>
      <c r="HY40" s="90"/>
      <c r="HZ40" s="90"/>
      <c r="IA40" s="90"/>
      <c r="IB40" s="90"/>
      <c r="IC40" s="90"/>
      <c r="ID40" s="90"/>
      <c r="IE40" s="90"/>
      <c r="IF40" s="90"/>
      <c r="IG40" s="90"/>
      <c r="IH40" s="90"/>
      <c r="II40" s="90"/>
      <c r="IJ40" s="90"/>
      <c r="IK40" s="90"/>
      <c r="IL40" s="90"/>
      <c r="IM40" s="90"/>
      <c r="IN40" s="90"/>
      <c r="IO40" s="90"/>
      <c r="IP40" s="90"/>
      <c r="IQ40" s="90"/>
      <c r="IR40" s="90"/>
      <c r="IS40" s="90"/>
    </row>
    <row r="41" spans="2:253" ht="12" customHeight="1" thickBot="1" x14ac:dyDescent="0.25">
      <c r="B41" s="368" t="s">
        <v>37</v>
      </c>
      <c r="C41" s="86" t="str">
        <f>RecordingSheet!D225</f>
        <v>Emily Butcher</v>
      </c>
      <c r="D41" s="87">
        <f>RecordingSheet!F225</f>
        <v>18.22</v>
      </c>
      <c r="E41" s="110"/>
      <c r="F41" s="368" t="s">
        <v>37</v>
      </c>
      <c r="G41" s="86" t="str">
        <f>RecordingSheet!D231</f>
        <v>Darragh Mc Cann-Kennedy</v>
      </c>
      <c r="H41" s="87">
        <f>RecordingSheet!F231</f>
        <v>21.26</v>
      </c>
      <c r="I41" s="90"/>
      <c r="J41" s="365"/>
      <c r="K41" s="365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  <c r="HA41" s="90"/>
      <c r="HB41" s="90"/>
      <c r="HC41" s="90"/>
      <c r="HD41" s="90"/>
      <c r="HE41" s="90"/>
      <c r="HF41" s="90"/>
      <c r="HG41" s="90"/>
      <c r="HH41" s="90"/>
      <c r="HI41" s="90"/>
      <c r="HJ41" s="90"/>
      <c r="HK41" s="90"/>
      <c r="HL41" s="90"/>
      <c r="HM41" s="90"/>
      <c r="HN41" s="90"/>
      <c r="HO41" s="90"/>
      <c r="HP41" s="90"/>
      <c r="HQ41" s="90"/>
      <c r="HR41" s="90"/>
      <c r="HS41" s="90"/>
      <c r="HT41" s="90"/>
      <c r="HU41" s="90"/>
      <c r="HV41" s="90"/>
      <c r="HW41" s="90"/>
      <c r="HX41" s="90"/>
      <c r="HY41" s="90"/>
      <c r="HZ41" s="90"/>
      <c r="IA41" s="90"/>
      <c r="IB41" s="90"/>
      <c r="IC41" s="90"/>
      <c r="ID41" s="90"/>
      <c r="IE41" s="90"/>
      <c r="IF41" s="90"/>
      <c r="IG41" s="90"/>
      <c r="IH41" s="90"/>
      <c r="II41" s="90"/>
      <c r="IJ41" s="90"/>
      <c r="IK41" s="90"/>
      <c r="IL41" s="90"/>
      <c r="IM41" s="90"/>
      <c r="IN41" s="90"/>
      <c r="IO41" s="90"/>
      <c r="IP41" s="90"/>
      <c r="IQ41" s="90"/>
      <c r="IR41" s="90"/>
      <c r="IS41" s="90"/>
    </row>
    <row r="42" spans="2:253" ht="12" customHeight="1" x14ac:dyDescent="0.2">
      <c r="B42" s="369" t="s">
        <v>41</v>
      </c>
      <c r="C42" s="194" t="str">
        <f>RecordingSheet!D279</f>
        <v>Abbi Craig</v>
      </c>
      <c r="D42" s="85">
        <f>RecordingSheet!F279</f>
        <v>16.739999999999998</v>
      </c>
      <c r="E42" s="110"/>
      <c r="F42" s="369" t="s">
        <v>41</v>
      </c>
      <c r="G42" s="84" t="str">
        <f>RecordingSheet!D285</f>
        <v>Ben Dinsmore</v>
      </c>
      <c r="H42" s="85">
        <f>RecordingSheet!F285</f>
        <v>17.04</v>
      </c>
      <c r="I42" s="90"/>
      <c r="J42" s="365"/>
      <c r="K42" s="365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  <c r="HA42" s="90"/>
      <c r="HB42" s="90"/>
      <c r="HC42" s="90"/>
      <c r="HD42" s="90"/>
      <c r="HE42" s="90"/>
      <c r="HF42" s="90"/>
      <c r="HG42" s="90"/>
      <c r="HH42" s="90"/>
      <c r="HI42" s="90"/>
      <c r="HJ42" s="90"/>
      <c r="HK42" s="90"/>
      <c r="HL42" s="90"/>
      <c r="HM42" s="90"/>
      <c r="HN42" s="90"/>
      <c r="HO42" s="90"/>
      <c r="HP42" s="90"/>
      <c r="HQ42" s="90"/>
      <c r="HR42" s="90"/>
      <c r="HS42" s="90"/>
      <c r="HT42" s="90"/>
      <c r="HU42" s="90"/>
      <c r="HV42" s="90"/>
      <c r="HW42" s="90"/>
      <c r="HX42" s="90"/>
      <c r="HY42" s="90"/>
      <c r="HZ42" s="90"/>
      <c r="IA42" s="90"/>
      <c r="IB42" s="90"/>
      <c r="IC42" s="90"/>
      <c r="ID42" s="90"/>
      <c r="IE42" s="90"/>
      <c r="IF42" s="90"/>
      <c r="IG42" s="90"/>
      <c r="IH42" s="90"/>
      <c r="II42" s="90"/>
      <c r="IJ42" s="90"/>
      <c r="IK42" s="90"/>
      <c r="IL42" s="90"/>
      <c r="IM42" s="90"/>
      <c r="IN42" s="90"/>
      <c r="IO42" s="90"/>
      <c r="IP42" s="90"/>
      <c r="IQ42" s="90"/>
      <c r="IR42" s="90"/>
      <c r="IS42" s="90"/>
    </row>
    <row r="43" spans="2:253" ht="12" customHeight="1" thickBot="1" x14ac:dyDescent="0.25">
      <c r="B43" s="370" t="s">
        <v>41</v>
      </c>
      <c r="C43" s="88" t="str">
        <f>RecordingSheet!D280</f>
        <v>Emily Butcher</v>
      </c>
      <c r="D43" s="89">
        <f>RecordingSheet!F280</f>
        <v>16.739999999999998</v>
      </c>
      <c r="E43" s="110"/>
      <c r="F43" s="370" t="s">
        <v>41</v>
      </c>
      <c r="G43" s="88" t="str">
        <f>RecordingSheet!D286</f>
        <v>Jude Williams</v>
      </c>
      <c r="H43" s="89">
        <f>RecordingSheet!F286</f>
        <v>18</v>
      </c>
      <c r="I43" s="90"/>
      <c r="J43" s="366"/>
      <c r="K43" s="366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  <c r="HA43" s="90"/>
      <c r="HB43" s="90"/>
      <c r="HC43" s="90"/>
      <c r="HD43" s="90"/>
      <c r="HE43" s="90"/>
      <c r="HF43" s="90"/>
      <c r="HG43" s="90"/>
      <c r="HH43" s="90"/>
      <c r="HI43" s="90"/>
      <c r="HJ43" s="90"/>
      <c r="HK43" s="90"/>
      <c r="HL43" s="90"/>
      <c r="HM43" s="90"/>
      <c r="HN43" s="90"/>
      <c r="HO43" s="90"/>
      <c r="HP43" s="90"/>
      <c r="HQ43" s="90"/>
      <c r="HR43" s="90"/>
      <c r="HS43" s="90"/>
      <c r="HT43" s="90"/>
      <c r="HU43" s="90"/>
      <c r="HV43" s="90"/>
      <c r="HW43" s="90"/>
      <c r="HX43" s="90"/>
      <c r="HY43" s="90"/>
      <c r="HZ43" s="90"/>
      <c r="IA43" s="90"/>
      <c r="IB43" s="90"/>
      <c r="IC43" s="90"/>
      <c r="ID43" s="90"/>
      <c r="IE43" s="90"/>
      <c r="IF43" s="90"/>
      <c r="IG43" s="90"/>
      <c r="IH43" s="90"/>
      <c r="II43" s="90"/>
      <c r="IJ43" s="90"/>
      <c r="IK43" s="90"/>
      <c r="IL43" s="90"/>
      <c r="IM43" s="90"/>
      <c r="IN43" s="90"/>
      <c r="IO43" s="90"/>
      <c r="IP43" s="90"/>
      <c r="IQ43" s="90"/>
      <c r="IR43" s="90"/>
      <c r="IS43" s="90"/>
    </row>
  </sheetData>
  <mergeCells count="49">
    <mergeCell ref="B1:H1"/>
    <mergeCell ref="F5:H5"/>
    <mergeCell ref="F6:F7"/>
    <mergeCell ref="F8:F9"/>
    <mergeCell ref="F10:F11"/>
    <mergeCell ref="F12:F13"/>
    <mergeCell ref="B5:D5"/>
    <mergeCell ref="B12:B13"/>
    <mergeCell ref="B10:B11"/>
    <mergeCell ref="B8:B9"/>
    <mergeCell ref="B6:B7"/>
    <mergeCell ref="B38:B39"/>
    <mergeCell ref="B40:B41"/>
    <mergeCell ref="B42:B43"/>
    <mergeCell ref="F26:F27"/>
    <mergeCell ref="F28:F29"/>
    <mergeCell ref="F30:F31"/>
    <mergeCell ref="F32:F33"/>
    <mergeCell ref="F36:F37"/>
    <mergeCell ref="F38:F39"/>
    <mergeCell ref="F40:F41"/>
    <mergeCell ref="F42:F43"/>
    <mergeCell ref="B26:B27"/>
    <mergeCell ref="B28:B29"/>
    <mergeCell ref="B30:B31"/>
    <mergeCell ref="B32:B33"/>
    <mergeCell ref="B36:B37"/>
    <mergeCell ref="B15:D15"/>
    <mergeCell ref="F15:H15"/>
    <mergeCell ref="B25:D25"/>
    <mergeCell ref="F25:H25"/>
    <mergeCell ref="B35:D35"/>
    <mergeCell ref="F35:H35"/>
    <mergeCell ref="B16:B17"/>
    <mergeCell ref="B18:B19"/>
    <mergeCell ref="B20:B21"/>
    <mergeCell ref="B22:B23"/>
    <mergeCell ref="F16:F17"/>
    <mergeCell ref="F18:F19"/>
    <mergeCell ref="F20:F21"/>
    <mergeCell ref="F22:F23"/>
    <mergeCell ref="J36:J43"/>
    <mergeCell ref="K36:K43"/>
    <mergeCell ref="K16:K23"/>
    <mergeCell ref="J16:J23"/>
    <mergeCell ref="K6:K13"/>
    <mergeCell ref="J6:J13"/>
    <mergeCell ref="J26:J33"/>
    <mergeCell ref="K26:K33"/>
  </mergeCells>
  <pageMargins left="0" right="0" top="0" bottom="0" header="0" footer="0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Instructions</vt:lpstr>
      <vt:lpstr>Team1</vt:lpstr>
      <vt:lpstr>Team2</vt:lpstr>
      <vt:lpstr>Team3</vt:lpstr>
      <vt:lpstr>Team1 - Tracking</vt:lpstr>
      <vt:lpstr>Team2 - Tracking</vt:lpstr>
      <vt:lpstr>Team3 - Tracking</vt:lpstr>
      <vt:lpstr>RecordingSheet</vt:lpstr>
      <vt:lpstr>Team1Analysis</vt:lpstr>
      <vt:lpstr>Team2Analysis</vt:lpstr>
      <vt:lpstr>Team3Analysis</vt:lpstr>
      <vt:lpstr>RecordingSheet!Print_Area</vt:lpstr>
      <vt:lpstr>Team1!Print_Area</vt:lpstr>
      <vt:lpstr>'Team1 - Tracking'!Print_Area</vt:lpstr>
      <vt:lpstr>Team2!Print_Area</vt:lpstr>
      <vt:lpstr>'Team2 - Tracking'!Print_Area</vt:lpstr>
      <vt:lpstr>Team3!Print_Area</vt:lpstr>
      <vt:lpstr>'Team3 - Tracking'!Print_Area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Geraldine Hill</dc:creator>
  <cp:lastModifiedBy>Clyde Hunt</cp:lastModifiedBy>
  <cp:lastPrinted>2018-06-07T21:26:07Z</cp:lastPrinted>
  <dcterms:created xsi:type="dcterms:W3CDTF">2014-04-02T22:11:26Z</dcterms:created>
  <dcterms:modified xsi:type="dcterms:W3CDTF">2019-06-08T09:00:47Z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_Steward">
    <vt:lpwstr>Childs H u658600</vt:lpwstr>
  </property>
  <property fmtid="{D5CDD505-2E9C-101B-9397-08002B2CF9AE}" pid="3" name="Update_Footer">
    <vt:lpwstr>No</vt:lpwstr>
  </property>
  <property fmtid="{D5CDD505-2E9C-101B-9397-08002B2CF9AE}" pid="4" name="Radio_Button">
    <vt:lpwstr>RadioButton2</vt:lpwstr>
  </property>
  <property fmtid="{D5CDD505-2E9C-101B-9397-08002B2CF9AE}" pid="5" name="Information_Classification">
    <vt:lpwstr/>
  </property>
  <property fmtid="{D5CDD505-2E9C-101B-9397-08002B2CF9AE}" pid="6" name="Record_Title_ID">
    <vt:lpwstr>72</vt:lpwstr>
  </property>
  <property fmtid="{D5CDD505-2E9C-101B-9397-08002B2CF9AE}" pid="7" name="Initial_Creation_Date">
    <vt:filetime>2014-04-02T22:11:25Z</vt:filetime>
  </property>
  <property fmtid="{D5CDD505-2E9C-101B-9397-08002B2CF9AE}" pid="8" name="Retention_Period_Start_Date">
    <vt:filetime>2017-06-01T10:28:43Z</vt:filetime>
  </property>
  <property fmtid="{D5CDD505-2E9C-101B-9397-08002B2CF9AE}" pid="9" name="Last_Reviewed_Date">
    <vt:lpwstr/>
  </property>
  <property fmtid="{D5CDD505-2E9C-101B-9397-08002B2CF9AE}" pid="10" name="Retention_Review_Frequency">
    <vt:lpwstr/>
  </property>
  <property fmtid="{D5CDD505-2E9C-101B-9397-08002B2CF9AE}" pid="11" name="TitusGUID">
    <vt:lpwstr>2772e69d-d595-4540-a23c-669cf40a2f99</vt:lpwstr>
  </property>
  <property fmtid="{D5CDD505-2E9C-101B-9397-08002B2CF9AE}" pid="12" name="Information Classification">
    <vt:lpwstr>General</vt:lpwstr>
  </property>
</Properties>
</file>