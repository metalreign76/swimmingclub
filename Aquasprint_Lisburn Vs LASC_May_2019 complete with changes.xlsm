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bookViews>
    <workbookView xWindow="0" yWindow="0" windowWidth="20490" windowHeight="8445" tabRatio="708" activeTab="2"/>
  </bookViews>
  <sheets>
    <sheet name="Instructions" sheetId="14" r:id="rId1"/>
    <sheet name="HomeTeam" sheetId="10" r:id="rId2"/>
    <sheet name="AwayTeam" sheetId="9" r:id="rId3"/>
    <sheet name="HomeTeam - Tracking" sheetId="18" r:id="rId4"/>
    <sheet name="AwayTeam - Tracking" sheetId="16" r:id="rId5"/>
    <sheet name="RecordingSheet" sheetId="1" r:id="rId6"/>
    <sheet name="HomeTeamAnalysis" sheetId="7" r:id="rId7"/>
    <sheet name="AwayTeamAnalysis" sheetId="6" r:id="rId8"/>
  </sheets>
  <definedNames>
    <definedName name="_xlnm.Print_Area" localSheetId="7">AwayTeamAnalysis!$B$1:$G$73</definedName>
    <definedName name="_xlnm.Print_Area" localSheetId="6">HomeTeamAnalysis!$B$1:$G$73</definedName>
    <definedName name="_xlnm.Print_Area" localSheetId="5">RecordingSheet!$A$1:$K$369</definedName>
    <definedName name="_xlnm.Print_Titles" localSheetId="5">RecordingSheet!$1:$3</definedName>
  </definedNames>
  <calcPr calcId="125725" concurrentCalc="0"/>
</workbook>
</file>

<file path=xl/calcChain.xml><?xml version="1.0" encoding="utf-8"?>
<calcChain xmlns="http://schemas.openxmlformats.org/spreadsheetml/2006/main">
  <c r="K39" i="1"/>
  <c r="K31"/>
  <c r="K23"/>
  <c r="G32" i="18"/>
  <c r="G33"/>
  <c r="G34"/>
  <c r="G31"/>
  <c r="F32"/>
  <c r="F33"/>
  <c r="F34"/>
  <c r="F31"/>
  <c r="E32"/>
  <c r="E33"/>
  <c r="E34"/>
  <c r="E31"/>
  <c r="D32"/>
  <c r="D33"/>
  <c r="D34"/>
  <c r="D31"/>
  <c r="G26"/>
  <c r="G27"/>
  <c r="G28"/>
  <c r="G25"/>
  <c r="F26"/>
  <c r="F27"/>
  <c r="F28"/>
  <c r="F25"/>
  <c r="E26"/>
  <c r="E27"/>
  <c r="E28"/>
  <c r="E25"/>
  <c r="D26"/>
  <c r="D27"/>
  <c r="D28"/>
  <c r="D25"/>
  <c r="G20"/>
  <c r="G21"/>
  <c r="G22"/>
  <c r="G19"/>
  <c r="F20"/>
  <c r="F21"/>
  <c r="F22"/>
  <c r="F19"/>
  <c r="E20"/>
  <c r="E21"/>
  <c r="E22"/>
  <c r="E19"/>
  <c r="D20"/>
  <c r="D21"/>
  <c r="D22"/>
  <c r="D19"/>
  <c r="G14"/>
  <c r="G15"/>
  <c r="G16"/>
  <c r="G13"/>
  <c r="F14"/>
  <c r="F15"/>
  <c r="F16"/>
  <c r="F13"/>
  <c r="E14"/>
  <c r="E15"/>
  <c r="E16"/>
  <c r="E13"/>
  <c r="D14"/>
  <c r="D15"/>
  <c r="D16"/>
  <c r="D13"/>
  <c r="E11"/>
  <c r="E10"/>
  <c r="E9"/>
  <c r="E8"/>
  <c r="E7"/>
  <c r="E6"/>
  <c r="E5"/>
  <c r="E4"/>
  <c r="M4"/>
  <c r="M5"/>
  <c r="M6"/>
  <c r="D1" i="16"/>
  <c r="D1" i="18"/>
  <c r="O44"/>
  <c r="N44"/>
  <c r="M44"/>
  <c r="L44"/>
  <c r="G44"/>
  <c r="F44"/>
  <c r="O43"/>
  <c r="N43"/>
  <c r="M43"/>
  <c r="L43"/>
  <c r="G43"/>
  <c r="F43"/>
  <c r="O42"/>
  <c r="N42"/>
  <c r="M42"/>
  <c r="L42"/>
  <c r="G42"/>
  <c r="F42"/>
  <c r="O41"/>
  <c r="N41"/>
  <c r="M41"/>
  <c r="L41"/>
  <c r="G41"/>
  <c r="F41"/>
  <c r="O40"/>
  <c r="N40"/>
  <c r="M40"/>
  <c r="L40"/>
  <c r="G40"/>
  <c r="F40"/>
  <c r="O39"/>
  <c r="N39"/>
  <c r="M39"/>
  <c r="L39"/>
  <c r="G39"/>
  <c r="F39"/>
  <c r="O38"/>
  <c r="N38"/>
  <c r="M38"/>
  <c r="L38"/>
  <c r="G38"/>
  <c r="F38"/>
  <c r="O37"/>
  <c r="N37"/>
  <c r="M37"/>
  <c r="L37"/>
  <c r="G37"/>
  <c r="F37"/>
  <c r="O34"/>
  <c r="N34"/>
  <c r="M34"/>
  <c r="L34"/>
  <c r="O33"/>
  <c r="N33"/>
  <c r="M33"/>
  <c r="L33"/>
  <c r="O32"/>
  <c r="N32"/>
  <c r="M32"/>
  <c r="L32"/>
  <c r="O31"/>
  <c r="N31"/>
  <c r="M31"/>
  <c r="L31"/>
  <c r="O28"/>
  <c r="N28"/>
  <c r="M28"/>
  <c r="L28"/>
  <c r="O27"/>
  <c r="N27"/>
  <c r="M27"/>
  <c r="L27"/>
  <c r="O26"/>
  <c r="N26"/>
  <c r="M26"/>
  <c r="L26"/>
  <c r="O25"/>
  <c r="N25"/>
  <c r="M25"/>
  <c r="L25"/>
  <c r="O22"/>
  <c r="N22"/>
  <c r="M22"/>
  <c r="L22"/>
  <c r="O21"/>
  <c r="N21"/>
  <c r="M21"/>
  <c r="L21"/>
  <c r="O20"/>
  <c r="N20"/>
  <c r="M20"/>
  <c r="L20"/>
  <c r="O19"/>
  <c r="N19"/>
  <c r="M19"/>
  <c r="L19"/>
  <c r="O16"/>
  <c r="N16"/>
  <c r="M16"/>
  <c r="L16"/>
  <c r="O15"/>
  <c r="N15"/>
  <c r="M15"/>
  <c r="L15"/>
  <c r="O14"/>
  <c r="N14"/>
  <c r="M14"/>
  <c r="L14"/>
  <c r="O13"/>
  <c r="N13"/>
  <c r="M13"/>
  <c r="L13"/>
  <c r="O11"/>
  <c r="N11"/>
  <c r="M11"/>
  <c r="L11"/>
  <c r="G11"/>
  <c r="O10"/>
  <c r="N10"/>
  <c r="M10"/>
  <c r="L10"/>
  <c r="G10"/>
  <c r="O9"/>
  <c r="N9"/>
  <c r="M9"/>
  <c r="L9"/>
  <c r="G9"/>
  <c r="O8"/>
  <c r="N8"/>
  <c r="M8"/>
  <c r="L8"/>
  <c r="G8"/>
  <c r="O7"/>
  <c r="N7"/>
  <c r="M7"/>
  <c r="L7"/>
  <c r="G7"/>
  <c r="O6"/>
  <c r="L6"/>
  <c r="G6"/>
  <c r="O5"/>
  <c r="N5"/>
  <c r="L5"/>
  <c r="G5"/>
  <c r="O4"/>
  <c r="N4"/>
  <c r="L4"/>
  <c r="G4"/>
  <c r="O44" i="16"/>
  <c r="N44"/>
  <c r="M44"/>
  <c r="L44"/>
  <c r="G44"/>
  <c r="F44"/>
  <c r="E44"/>
  <c r="D44"/>
  <c r="O43"/>
  <c r="N43"/>
  <c r="M43"/>
  <c r="L43"/>
  <c r="G43"/>
  <c r="F43"/>
  <c r="E43"/>
  <c r="D43"/>
  <c r="O42"/>
  <c r="N42"/>
  <c r="M42"/>
  <c r="L42"/>
  <c r="G42"/>
  <c r="F42"/>
  <c r="E42"/>
  <c r="D42"/>
  <c r="O41"/>
  <c r="N41"/>
  <c r="M41"/>
  <c r="L41"/>
  <c r="G41"/>
  <c r="F41"/>
  <c r="E41"/>
  <c r="D41"/>
  <c r="O40"/>
  <c r="N40"/>
  <c r="M40"/>
  <c r="L40"/>
  <c r="G40"/>
  <c r="F40"/>
  <c r="E40"/>
  <c r="D40"/>
  <c r="O39"/>
  <c r="N39"/>
  <c r="M39"/>
  <c r="L39"/>
  <c r="G39"/>
  <c r="F39"/>
  <c r="E39"/>
  <c r="D39"/>
  <c r="O38"/>
  <c r="N38"/>
  <c r="M38"/>
  <c r="L38"/>
  <c r="G38"/>
  <c r="F38"/>
  <c r="E38"/>
  <c r="D38"/>
  <c r="O37"/>
  <c r="N37"/>
  <c r="M37"/>
  <c r="L37"/>
  <c r="G37"/>
  <c r="F37"/>
  <c r="E37"/>
  <c r="D37"/>
  <c r="O34"/>
  <c r="N34"/>
  <c r="M34"/>
  <c r="L34"/>
  <c r="G34"/>
  <c r="F34"/>
  <c r="E34"/>
  <c r="D34"/>
  <c r="O33"/>
  <c r="N33"/>
  <c r="M33"/>
  <c r="L33"/>
  <c r="G33"/>
  <c r="F33"/>
  <c r="E33"/>
  <c r="D33"/>
  <c r="O32"/>
  <c r="N32"/>
  <c r="M32"/>
  <c r="L32"/>
  <c r="G32"/>
  <c r="F32"/>
  <c r="E32"/>
  <c r="D32"/>
  <c r="O31"/>
  <c r="N31"/>
  <c r="M31"/>
  <c r="L31"/>
  <c r="G31"/>
  <c r="F31"/>
  <c r="E31"/>
  <c r="D31"/>
  <c r="O28"/>
  <c r="N28"/>
  <c r="M28"/>
  <c r="L28"/>
  <c r="G28"/>
  <c r="F28"/>
  <c r="E28"/>
  <c r="D28"/>
  <c r="O27"/>
  <c r="N27"/>
  <c r="M27"/>
  <c r="L27"/>
  <c r="G27"/>
  <c r="F27"/>
  <c r="E27"/>
  <c r="D27"/>
  <c r="O26"/>
  <c r="N26"/>
  <c r="M26"/>
  <c r="L26"/>
  <c r="G26"/>
  <c r="F26"/>
  <c r="E26"/>
  <c r="D26"/>
  <c r="O25"/>
  <c r="N25"/>
  <c r="M25"/>
  <c r="L25"/>
  <c r="G25"/>
  <c r="F25"/>
  <c r="E25"/>
  <c r="D25"/>
  <c r="O22"/>
  <c r="N22"/>
  <c r="M22"/>
  <c r="L22"/>
  <c r="G22"/>
  <c r="F22"/>
  <c r="E22"/>
  <c r="D22"/>
  <c r="O21"/>
  <c r="N21"/>
  <c r="M21"/>
  <c r="L21"/>
  <c r="G21"/>
  <c r="F21"/>
  <c r="E21"/>
  <c r="D21"/>
  <c r="O20"/>
  <c r="N20"/>
  <c r="M20"/>
  <c r="L20"/>
  <c r="G20"/>
  <c r="F20"/>
  <c r="E20"/>
  <c r="D20"/>
  <c r="O19"/>
  <c r="N19"/>
  <c r="M19"/>
  <c r="L19"/>
  <c r="G19"/>
  <c r="F19"/>
  <c r="E19"/>
  <c r="D19"/>
  <c r="O16"/>
  <c r="N16"/>
  <c r="M16"/>
  <c r="L16"/>
  <c r="G16"/>
  <c r="F16"/>
  <c r="E16"/>
  <c r="D16"/>
  <c r="O15"/>
  <c r="N15"/>
  <c r="M15"/>
  <c r="L15"/>
  <c r="G15"/>
  <c r="F15"/>
  <c r="E15"/>
  <c r="D15"/>
  <c r="O14"/>
  <c r="N14"/>
  <c r="M14"/>
  <c r="L14"/>
  <c r="G14"/>
  <c r="F14"/>
  <c r="E14"/>
  <c r="D14"/>
  <c r="O13"/>
  <c r="N13"/>
  <c r="M13"/>
  <c r="L13"/>
  <c r="G13"/>
  <c r="F13"/>
  <c r="E13"/>
  <c r="D13"/>
  <c r="O11"/>
  <c r="N11"/>
  <c r="M11"/>
  <c r="L11"/>
  <c r="G11"/>
  <c r="F11"/>
  <c r="E11"/>
  <c r="D11"/>
  <c r="O10"/>
  <c r="N10"/>
  <c r="M10"/>
  <c r="L10"/>
  <c r="G10"/>
  <c r="F10"/>
  <c r="E10"/>
  <c r="D10"/>
  <c r="O9"/>
  <c r="N9"/>
  <c r="M9"/>
  <c r="L9"/>
  <c r="G9"/>
  <c r="F9"/>
  <c r="E9"/>
  <c r="D9"/>
  <c r="O8"/>
  <c r="N8"/>
  <c r="M8"/>
  <c r="L8"/>
  <c r="G8"/>
  <c r="F8"/>
  <c r="E8"/>
  <c r="D8"/>
  <c r="O7"/>
  <c r="N7"/>
  <c r="M7"/>
  <c r="L7"/>
  <c r="G7"/>
  <c r="F7"/>
  <c r="E7"/>
  <c r="D7"/>
  <c r="O6"/>
  <c r="N6"/>
  <c r="M6"/>
  <c r="L6"/>
  <c r="G6"/>
  <c r="F6"/>
  <c r="E6"/>
  <c r="D6"/>
  <c r="O5"/>
  <c r="N5"/>
  <c r="M5"/>
  <c r="L5"/>
  <c r="G5"/>
  <c r="F5"/>
  <c r="E5"/>
  <c r="D5"/>
  <c r="O4"/>
  <c r="N4"/>
  <c r="M4"/>
  <c r="L4"/>
  <c r="G4"/>
  <c r="F4"/>
  <c r="E4"/>
  <c r="D4"/>
  <c r="G25" i="7"/>
  <c r="G24"/>
  <c r="G23"/>
  <c r="G22"/>
  <c r="H326" i="1"/>
  <c r="H325"/>
  <c r="H324"/>
  <c r="H323"/>
  <c r="H322"/>
  <c r="H321"/>
  <c r="H320"/>
  <c r="H319"/>
  <c r="H318"/>
  <c r="H317"/>
  <c r="H316"/>
  <c r="H315"/>
  <c r="H314"/>
  <c r="H313"/>
  <c r="H312"/>
  <c r="H311"/>
  <c r="H310"/>
  <c r="H309"/>
  <c r="H308"/>
  <c r="H307"/>
  <c r="H306"/>
  <c r="H305"/>
  <c r="H304"/>
  <c r="H303"/>
  <c r="H302"/>
  <c r="H301"/>
  <c r="H300"/>
  <c r="H299"/>
  <c r="H298"/>
  <c r="H297"/>
  <c r="H296"/>
  <c r="H295"/>
  <c r="H294"/>
  <c r="H293"/>
  <c r="H292"/>
  <c r="H291"/>
  <c r="H290"/>
  <c r="H289"/>
  <c r="H288"/>
  <c r="H287"/>
  <c r="H286"/>
  <c r="H285"/>
  <c r="H284"/>
  <c r="H283"/>
  <c r="H282"/>
  <c r="H281"/>
  <c r="H280"/>
  <c r="H279"/>
  <c r="H278"/>
  <c r="H277"/>
  <c r="H276"/>
  <c r="H275"/>
  <c r="H274"/>
  <c r="H273"/>
  <c r="H272"/>
  <c r="H271"/>
  <c r="H270"/>
  <c r="H269"/>
  <c r="H268"/>
  <c r="K327"/>
  <c r="H267"/>
  <c r="H266"/>
  <c r="H265"/>
  <c r="H264"/>
  <c r="H263"/>
  <c r="K256"/>
  <c r="H255"/>
  <c r="H254"/>
  <c r="H253"/>
  <c r="H252"/>
  <c r="H251"/>
  <c r="H250"/>
  <c r="H249"/>
  <c r="H248"/>
  <c r="H247"/>
  <c r="H246"/>
  <c r="H245"/>
  <c r="H244"/>
  <c r="H243"/>
  <c r="H242"/>
  <c r="H241"/>
  <c r="H240"/>
  <c r="H239"/>
  <c r="H238"/>
  <c r="H237"/>
  <c r="H236"/>
  <c r="H235"/>
  <c r="H234"/>
  <c r="H233"/>
  <c r="H232"/>
  <c r="H231"/>
  <c r="H230"/>
  <c r="H229"/>
  <c r="H228"/>
  <c r="H227"/>
  <c r="H226"/>
  <c r="H225"/>
  <c r="H224"/>
  <c r="H223"/>
  <c r="H222"/>
  <c r="H221"/>
  <c r="H220"/>
  <c r="H219"/>
  <c r="H218"/>
  <c r="H217"/>
  <c r="H216"/>
  <c r="H215"/>
  <c r="H214"/>
  <c r="H213"/>
  <c r="H212"/>
  <c r="H211"/>
  <c r="H210"/>
  <c r="H209"/>
  <c r="H208"/>
  <c r="H207"/>
  <c r="H206"/>
  <c r="H205"/>
  <c r="H204"/>
  <c r="H203"/>
  <c r="H202"/>
  <c r="H201"/>
  <c r="H200"/>
  <c r="H199"/>
  <c r="H198"/>
  <c r="H197"/>
  <c r="H196"/>
  <c r="H195"/>
  <c r="H194"/>
  <c r="H193"/>
  <c r="H192"/>
  <c r="H184"/>
  <c r="H183"/>
  <c r="H182"/>
  <c r="H181"/>
  <c r="H180"/>
  <c r="H179"/>
  <c r="H178"/>
  <c r="H177"/>
  <c r="H176"/>
  <c r="H175"/>
  <c r="H174"/>
  <c r="H173"/>
  <c r="H172"/>
  <c r="H171"/>
  <c r="H170"/>
  <c r="H169"/>
  <c r="H168"/>
  <c r="H167"/>
  <c r="H166"/>
  <c r="H165"/>
  <c r="H164"/>
  <c r="H163"/>
  <c r="H162"/>
  <c r="H161"/>
  <c r="H160"/>
  <c r="H159"/>
  <c r="H158"/>
  <c r="H157"/>
  <c r="H156"/>
  <c r="H155"/>
  <c r="H154"/>
  <c r="H153"/>
  <c r="H152"/>
  <c r="H151"/>
  <c r="H150"/>
  <c r="H149"/>
  <c r="H148"/>
  <c r="H147"/>
  <c r="H146"/>
  <c r="H145"/>
  <c r="H144"/>
  <c r="H143"/>
  <c r="H142"/>
  <c r="H141"/>
  <c r="H140"/>
  <c r="H139"/>
  <c r="H138"/>
  <c r="H137"/>
  <c r="H136"/>
  <c r="H135"/>
  <c r="H134"/>
  <c r="H133"/>
  <c r="H132"/>
  <c r="H131"/>
  <c r="H130"/>
  <c r="H129"/>
  <c r="H128"/>
  <c r="H127"/>
  <c r="H126"/>
  <c r="H125"/>
  <c r="H124"/>
  <c r="H123"/>
  <c r="H122"/>
  <c r="H121"/>
  <c r="H113"/>
  <c r="H112"/>
  <c r="H111"/>
  <c r="H110"/>
  <c r="H109"/>
  <c r="H108"/>
  <c r="H107"/>
  <c r="H106"/>
  <c r="H105"/>
  <c r="H104"/>
  <c r="H10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363"/>
  <c r="H359"/>
  <c r="H355"/>
  <c r="H351"/>
  <c r="H347"/>
  <c r="H343"/>
  <c r="H339"/>
  <c r="H335"/>
  <c r="H39"/>
  <c r="H35"/>
  <c r="H31"/>
  <c r="H27"/>
  <c r="H23"/>
  <c r="H19"/>
  <c r="H11"/>
  <c r="H15"/>
  <c r="I327"/>
  <c r="I256"/>
  <c r="D346"/>
  <c r="D345"/>
  <c r="D344"/>
  <c r="D343"/>
  <c r="D338"/>
  <c r="D337"/>
  <c r="D336"/>
  <c r="D335"/>
  <c r="D362"/>
  <c r="D361"/>
  <c r="D360"/>
  <c r="D359"/>
  <c r="D354"/>
  <c r="D353"/>
  <c r="D352"/>
  <c r="D351"/>
  <c r="D38"/>
  <c r="D37"/>
  <c r="D36"/>
  <c r="D35"/>
  <c r="D30"/>
  <c r="D29"/>
  <c r="D28"/>
  <c r="D27"/>
  <c r="D22"/>
  <c r="D21"/>
  <c r="D20"/>
  <c r="D19"/>
  <c r="D14"/>
  <c r="D13"/>
  <c r="D12"/>
  <c r="D11"/>
  <c r="D366"/>
  <c r="D365"/>
  <c r="D364"/>
  <c r="D363"/>
  <c r="D358"/>
  <c r="D357"/>
  <c r="D356"/>
  <c r="D355"/>
  <c r="D350"/>
  <c r="D349"/>
  <c r="D348"/>
  <c r="D347"/>
  <c r="D342"/>
  <c r="D341"/>
  <c r="D340"/>
  <c r="D339"/>
  <c r="D42"/>
  <c r="D41"/>
  <c r="D40"/>
  <c r="D39"/>
  <c r="D34"/>
  <c r="D33"/>
  <c r="D32"/>
  <c r="D31"/>
  <c r="D26"/>
  <c r="D25"/>
  <c r="D24"/>
  <c r="D23"/>
  <c r="D15"/>
  <c r="D18"/>
  <c r="D17"/>
  <c r="D16"/>
  <c r="D326"/>
  <c r="F73" i="7"/>
  <c r="D325" i="1"/>
  <c r="F72" i="7"/>
  <c r="D324" i="1"/>
  <c r="F71" i="7"/>
  <c r="D323" i="1"/>
  <c r="D322"/>
  <c r="F73" i="6"/>
  <c r="D321" i="1"/>
  <c r="F72" i="6"/>
  <c r="D320" i="1"/>
  <c r="F71" i="6"/>
  <c r="D319" i="1"/>
  <c r="D318"/>
  <c r="C73" i="7"/>
  <c r="D317" i="1"/>
  <c r="C72" i="7"/>
  <c r="D316" i="1"/>
  <c r="C71" i="7"/>
  <c r="D315" i="1"/>
  <c r="C70" i="7"/>
  <c r="D314" i="1"/>
  <c r="C73" i="6"/>
  <c r="D313" i="1"/>
  <c r="C72" i="6"/>
  <c r="D312" i="1"/>
  <c r="C71" i="6"/>
  <c r="D311" i="1"/>
  <c r="C70" i="6"/>
  <c r="D310" i="1"/>
  <c r="F55" i="7"/>
  <c r="D309" i="1"/>
  <c r="F54" i="7"/>
  <c r="D308" i="1"/>
  <c r="F53" i="7"/>
  <c r="D307" i="1"/>
  <c r="F52" i="7"/>
  <c r="D306" i="1"/>
  <c r="F55" i="6"/>
  <c r="D305" i="1"/>
  <c r="F54" i="6"/>
  <c r="D304" i="1"/>
  <c r="F53" i="6"/>
  <c r="D303" i="1"/>
  <c r="F52" i="6"/>
  <c r="D302" i="1"/>
  <c r="C55" i="7"/>
  <c r="D301" i="1"/>
  <c r="C54" i="7"/>
  <c r="D300" i="1"/>
  <c r="C53" i="7"/>
  <c r="D299" i="1"/>
  <c r="C52" i="7"/>
  <c r="D298" i="1"/>
  <c r="C55" i="6"/>
  <c r="D297" i="1"/>
  <c r="C54" i="6"/>
  <c r="D296" i="1"/>
  <c r="C53" i="6"/>
  <c r="D295" i="1"/>
  <c r="C52" i="6"/>
  <c r="D294" i="1"/>
  <c r="F37" i="7"/>
  <c r="D293" i="1"/>
  <c r="F36" i="7"/>
  <c r="D292" i="1"/>
  <c r="F35" i="7"/>
  <c r="D291" i="1"/>
  <c r="F34" i="7"/>
  <c r="D290" i="1"/>
  <c r="F37" i="6"/>
  <c r="D289" i="1"/>
  <c r="F36" i="6"/>
  <c r="D288" i="1"/>
  <c r="F35" i="6"/>
  <c r="D287" i="1"/>
  <c r="F34" i="6"/>
  <c r="D286" i="1"/>
  <c r="C37" i="7"/>
  <c r="D285" i="1"/>
  <c r="C36" i="7"/>
  <c r="D284" i="1"/>
  <c r="C35" i="7"/>
  <c r="D283" i="1"/>
  <c r="C34" i="7"/>
  <c r="D282" i="1"/>
  <c r="C37" i="6"/>
  <c r="D281" i="1"/>
  <c r="C36" i="6"/>
  <c r="D280" i="1"/>
  <c r="C35" i="6"/>
  <c r="D279" i="1"/>
  <c r="C34" i="6"/>
  <c r="D278" i="1"/>
  <c r="F19" i="7"/>
  <c r="D277" i="1"/>
  <c r="F18" i="7"/>
  <c r="D276" i="1"/>
  <c r="F17" i="7"/>
  <c r="D275" i="1"/>
  <c r="F16" i="7"/>
  <c r="D274" i="1"/>
  <c r="F19" i="6"/>
  <c r="D273" i="1"/>
  <c r="F18" i="6"/>
  <c r="D272" i="1"/>
  <c r="F17" i="6"/>
  <c r="D271" i="1"/>
  <c r="F16" i="6"/>
  <c r="D270" i="1"/>
  <c r="C19" i="7"/>
  <c r="D269" i="1"/>
  <c r="C18" i="7"/>
  <c r="D268" i="1"/>
  <c r="C17" i="7"/>
  <c r="D267" i="1"/>
  <c r="C16" i="7"/>
  <c r="D266" i="1"/>
  <c r="C19" i="6"/>
  <c r="D265" i="1"/>
  <c r="C18" i="6"/>
  <c r="D264" i="1"/>
  <c r="C17" i="6"/>
  <c r="D263" i="1"/>
  <c r="C16" i="6"/>
  <c r="D255" i="1"/>
  <c r="F69" i="7"/>
  <c r="D254" i="1"/>
  <c r="F68" i="7"/>
  <c r="D253" i="1"/>
  <c r="F67" i="7"/>
  <c r="D252" i="1"/>
  <c r="F66" i="7"/>
  <c r="D251" i="1"/>
  <c r="F69" i="6"/>
  <c r="D250" i="1"/>
  <c r="F68" i="6"/>
  <c r="D249" i="1"/>
  <c r="F67" i="6"/>
  <c r="D248" i="1"/>
  <c r="F66" i="6"/>
  <c r="D247" i="1"/>
  <c r="C69" i="7"/>
  <c r="D246" i="1"/>
  <c r="C68" i="7"/>
  <c r="D245" i="1"/>
  <c r="C67" i="7"/>
  <c r="D244" i="1"/>
  <c r="C66" i="7"/>
  <c r="D243" i="1"/>
  <c r="C69" i="6"/>
  <c r="D242" i="1"/>
  <c r="C68" i="6"/>
  <c r="D241" i="1"/>
  <c r="C67" i="6"/>
  <c r="D240" i="1"/>
  <c r="C66" i="6"/>
  <c r="D239" i="1"/>
  <c r="F51" i="7"/>
  <c r="D238" i="1"/>
  <c r="F50" i="7"/>
  <c r="D237" i="1"/>
  <c r="F49" i="7"/>
  <c r="D236" i="1"/>
  <c r="F48" i="7"/>
  <c r="D235" i="1"/>
  <c r="F51" i="6"/>
  <c r="D234" i="1"/>
  <c r="F50" i="6"/>
  <c r="D233" i="1"/>
  <c r="F49" i="6"/>
  <c r="D232" i="1"/>
  <c r="F48" i="6"/>
  <c r="D231" i="1"/>
  <c r="C51" i="7"/>
  <c r="D230" i="1"/>
  <c r="C50" i="7"/>
  <c r="D229" i="1"/>
  <c r="C49" i="7"/>
  <c r="D228" i="1"/>
  <c r="C48" i="7"/>
  <c r="D227" i="1"/>
  <c r="C51" i="6"/>
  <c r="D226" i="1"/>
  <c r="C50" i="6"/>
  <c r="D225" i="1"/>
  <c r="C49" i="6"/>
  <c r="D224" i="1"/>
  <c r="C48" i="6"/>
  <c r="D223" i="1"/>
  <c r="F33" i="7"/>
  <c r="D222" i="1"/>
  <c r="F32" i="7"/>
  <c r="D221" i="1"/>
  <c r="F31" i="7"/>
  <c r="D220" i="1"/>
  <c r="F30" i="7"/>
  <c r="D219" i="1"/>
  <c r="F33" i="6"/>
  <c r="D218" i="1"/>
  <c r="F32" i="6"/>
  <c r="D217" i="1"/>
  <c r="F31" i="6"/>
  <c r="D216" i="1"/>
  <c r="F30" i="6"/>
  <c r="D215" i="1"/>
  <c r="C33" i="7"/>
  <c r="D214" i="1"/>
  <c r="C32" i="7"/>
  <c r="D213" i="1"/>
  <c r="C31" i="7"/>
  <c r="D212" i="1"/>
  <c r="C30" i="7"/>
  <c r="D211" i="1"/>
  <c r="C33" i="6"/>
  <c r="D210" i="1"/>
  <c r="C32" i="6"/>
  <c r="D209" i="1"/>
  <c r="C31" i="6"/>
  <c r="D208" i="1"/>
  <c r="C30" i="6"/>
  <c r="D207" i="1"/>
  <c r="F15" i="7"/>
  <c r="D206" i="1"/>
  <c r="F14" i="7"/>
  <c r="D205" i="1"/>
  <c r="F13" i="7"/>
  <c r="D204" i="1"/>
  <c r="F12" i="7"/>
  <c r="D203" i="1"/>
  <c r="F15" i="6"/>
  <c r="D202" i="1"/>
  <c r="F14" i="6"/>
  <c r="D201" i="1"/>
  <c r="F13" i="6"/>
  <c r="D200" i="1"/>
  <c r="F12" i="6"/>
  <c r="D199" i="1"/>
  <c r="C15" i="7"/>
  <c r="D198" i="1"/>
  <c r="C14" i="7"/>
  <c r="D197" i="1"/>
  <c r="C13" i="7"/>
  <c r="D196" i="1"/>
  <c r="C12" i="7"/>
  <c r="D195" i="1"/>
  <c r="C15" i="6"/>
  <c r="D194" i="1"/>
  <c r="C14" i="6"/>
  <c r="D193" i="1"/>
  <c r="C13" i="6"/>
  <c r="D192" i="1"/>
  <c r="C12" i="6"/>
  <c r="D184" i="1"/>
  <c r="F65" i="7"/>
  <c r="D183" i="1"/>
  <c r="F64" i="7"/>
  <c r="D182" i="1"/>
  <c r="F63" i="7"/>
  <c r="D181" i="1"/>
  <c r="F62" i="7"/>
  <c r="D180" i="1"/>
  <c r="F65" i="6"/>
  <c r="D179" i="1"/>
  <c r="F64" i="6"/>
  <c r="D178" i="1"/>
  <c r="F63" i="6"/>
  <c r="D177" i="1"/>
  <c r="F62" i="6"/>
  <c r="D176" i="1"/>
  <c r="C65" i="7"/>
  <c r="D175" i="1"/>
  <c r="C64" i="7"/>
  <c r="D174" i="1"/>
  <c r="C63" i="7"/>
  <c r="D173" i="1"/>
  <c r="C62" i="7"/>
  <c r="D172" i="1"/>
  <c r="C65" i="6"/>
  <c r="D171" i="1"/>
  <c r="C64" i="6"/>
  <c r="D170" i="1"/>
  <c r="C63" i="6"/>
  <c r="D169" i="1"/>
  <c r="C62" i="6"/>
  <c r="D168" i="1"/>
  <c r="F47" i="7"/>
  <c r="D167" i="1"/>
  <c r="F46" i="7"/>
  <c r="D166" i="1"/>
  <c r="F45" i="7"/>
  <c r="D165" i="1"/>
  <c r="F44" i="7"/>
  <c r="D164" i="1"/>
  <c r="F47" i="6"/>
  <c r="D163" i="1"/>
  <c r="F46" i="6"/>
  <c r="D162" i="1"/>
  <c r="F45" i="6"/>
  <c r="D161" i="1"/>
  <c r="F44" i="6"/>
  <c r="D160" i="1"/>
  <c r="C47" i="7"/>
  <c r="D159" i="1"/>
  <c r="C46" i="7"/>
  <c r="D158" i="1"/>
  <c r="C45" i="7"/>
  <c r="D157" i="1"/>
  <c r="C44" i="7"/>
  <c r="D156" i="1"/>
  <c r="C47" i="6"/>
  <c r="D155" i="1"/>
  <c r="C46" i="6"/>
  <c r="D154" i="1"/>
  <c r="C45" i="6"/>
  <c r="D153" i="1"/>
  <c r="C44" i="6"/>
  <c r="D152" i="1"/>
  <c r="F29" i="7"/>
  <c r="D151" i="1"/>
  <c r="F28" i="7"/>
  <c r="D150" i="1"/>
  <c r="F27" i="7"/>
  <c r="D149" i="1"/>
  <c r="F26" i="7"/>
  <c r="D148" i="1"/>
  <c r="F29" i="6"/>
  <c r="D147" i="1"/>
  <c r="F28" i="6"/>
  <c r="D146" i="1"/>
  <c r="F27" i="6"/>
  <c r="D145" i="1"/>
  <c r="F26" i="6"/>
  <c r="D144" i="1"/>
  <c r="C29" i="7"/>
  <c r="D143" i="1"/>
  <c r="C28" i="7"/>
  <c r="D142" i="1"/>
  <c r="C27" i="7"/>
  <c r="D141" i="1"/>
  <c r="C26" i="7"/>
  <c r="D140" i="1"/>
  <c r="C29" i="6"/>
  <c r="C28"/>
  <c r="D138" i="1"/>
  <c r="C27" i="6"/>
  <c r="D137" i="1"/>
  <c r="C26" i="6"/>
  <c r="D136" i="1"/>
  <c r="F11" i="7"/>
  <c r="D135" i="1"/>
  <c r="F10" i="7"/>
  <c r="D134" i="1"/>
  <c r="F9" i="7"/>
  <c r="D133" i="1"/>
  <c r="F8" i="7"/>
  <c r="D132" i="1"/>
  <c r="F11" i="6"/>
  <c r="D131" i="1"/>
  <c r="F10" i="6"/>
  <c r="D130" i="1"/>
  <c r="F9" i="6"/>
  <c r="D129" i="1"/>
  <c r="F8" i="6"/>
  <c r="D128" i="1"/>
  <c r="C11" i="7"/>
  <c r="D127" i="1"/>
  <c r="C10" i="7"/>
  <c r="D126" i="1"/>
  <c r="C9" i="7"/>
  <c r="D125" i="1"/>
  <c r="C8" i="7"/>
  <c r="D124" i="1"/>
  <c r="C11" i="6"/>
  <c r="C10"/>
  <c r="D122" i="1"/>
  <c r="C9" i="6"/>
  <c r="D121" i="1"/>
  <c r="C8" i="6"/>
  <c r="D113" i="1"/>
  <c r="F61" i="7"/>
  <c r="D112" i="1"/>
  <c r="F60" i="7"/>
  <c r="D111" i="1"/>
  <c r="F59" i="7"/>
  <c r="D110" i="1"/>
  <c r="F58" i="7"/>
  <c r="D109" i="1"/>
  <c r="F61" i="6"/>
  <c r="D108" i="1"/>
  <c r="F60" i="6"/>
  <c r="D107" i="1"/>
  <c r="F59" i="6"/>
  <c r="D106" i="1"/>
  <c r="F58" i="6"/>
  <c r="D105" i="1"/>
  <c r="C61" i="7"/>
  <c r="D104" i="1"/>
  <c r="C60" i="7"/>
  <c r="D103" i="1"/>
  <c r="C59" i="7"/>
  <c r="D102" i="1"/>
  <c r="C58" i="7"/>
  <c r="D101" i="1"/>
  <c r="C61" i="6"/>
  <c r="D100" i="1"/>
  <c r="C60" i="6"/>
  <c r="D99" i="1"/>
  <c r="C59" i="6"/>
  <c r="D98" i="1"/>
  <c r="C58" i="6"/>
  <c r="D97" i="1"/>
  <c r="F43" i="7"/>
  <c r="D96" i="1"/>
  <c r="F42" i="7"/>
  <c r="D95" i="1"/>
  <c r="F41" i="7"/>
  <c r="D94" i="1"/>
  <c r="F40" i="7"/>
  <c r="D93" i="1"/>
  <c r="F43" i="6"/>
  <c r="D92" i="1"/>
  <c r="F42" i="6"/>
  <c r="D91" i="1"/>
  <c r="F41" i="6"/>
  <c r="D90" i="1"/>
  <c r="F40" i="6"/>
  <c r="D89" i="1"/>
  <c r="C43" i="7"/>
  <c r="D88" i="1"/>
  <c r="C42" i="7"/>
  <c r="D87" i="1"/>
  <c r="C41" i="7"/>
  <c r="D86" i="1"/>
  <c r="C40" i="7"/>
  <c r="D85" i="1"/>
  <c r="C43" i="6"/>
  <c r="D84" i="1"/>
  <c r="C42" i="6"/>
  <c r="D83" i="1"/>
  <c r="C41" i="6"/>
  <c r="D82" i="1"/>
  <c r="C40" i="6"/>
  <c r="D81" i="1"/>
  <c r="F25" i="7"/>
  <c r="D80" i="1"/>
  <c r="F24" i="7"/>
  <c r="D79" i="1"/>
  <c r="F23" i="7"/>
  <c r="D78" i="1"/>
  <c r="F22" i="7"/>
  <c r="D77" i="1"/>
  <c r="F25" i="6"/>
  <c r="D76" i="1"/>
  <c r="F24" i="6"/>
  <c r="D75" i="1"/>
  <c r="F23" i="6"/>
  <c r="D74" i="1"/>
  <c r="F22" i="6"/>
  <c r="D73" i="1"/>
  <c r="C25" i="7"/>
  <c r="D72" i="1"/>
  <c r="C24" i="7"/>
  <c r="D71" i="1"/>
  <c r="C23" i="7"/>
  <c r="D70" i="1"/>
  <c r="C22" i="7"/>
  <c r="D69" i="1"/>
  <c r="C25" i="6"/>
  <c r="D68" i="1"/>
  <c r="C24" i="6"/>
  <c r="D67" i="1"/>
  <c r="C23" i="6"/>
  <c r="D66" i="1"/>
  <c r="C22" i="6"/>
  <c r="D62" i="1"/>
  <c r="F4" i="7"/>
  <c r="D65" i="1"/>
  <c r="F7" i="7"/>
  <c r="D64" i="1"/>
  <c r="F6" i="7"/>
  <c r="D63" i="1"/>
  <c r="F5" i="7"/>
  <c r="D57" i="1"/>
  <c r="C7" i="7"/>
  <c r="D56" i="1"/>
  <c r="C6" i="7"/>
  <c r="D55" i="1"/>
  <c r="C5" i="7"/>
  <c r="D54" i="1"/>
  <c r="C4" i="7"/>
  <c r="D61" i="1"/>
  <c r="F7" i="6"/>
  <c r="D60" i="1"/>
  <c r="F6" i="6"/>
  <c r="D59" i="1"/>
  <c r="F5" i="6"/>
  <c r="D58" i="1"/>
  <c r="F4" i="6"/>
  <c r="D53" i="1"/>
  <c r="C7" i="6"/>
  <c r="D52" i="1"/>
  <c r="C6" i="6"/>
  <c r="D51" i="1"/>
  <c r="C5" i="6"/>
  <c r="D50" i="1"/>
  <c r="C4" i="6"/>
  <c r="G73"/>
  <c r="G72"/>
  <c r="G71"/>
  <c r="D73"/>
  <c r="D72"/>
  <c r="D71"/>
  <c r="G70"/>
  <c r="F70"/>
  <c r="G55"/>
  <c r="G54"/>
  <c r="G53"/>
  <c r="D70"/>
  <c r="D55"/>
  <c r="D54"/>
  <c r="D53"/>
  <c r="G52"/>
  <c r="D52"/>
  <c r="G37"/>
  <c r="G36"/>
  <c r="G35"/>
  <c r="D37"/>
  <c r="D36"/>
  <c r="D35"/>
  <c r="D34"/>
  <c r="G34"/>
  <c r="G19"/>
  <c r="G18"/>
  <c r="G17"/>
  <c r="D19"/>
  <c r="D18"/>
  <c r="D17"/>
  <c r="G16"/>
  <c r="D16"/>
  <c r="G69"/>
  <c r="G68"/>
  <c r="G67"/>
  <c r="D69"/>
  <c r="D68"/>
  <c r="D67"/>
  <c r="D66"/>
  <c r="G66"/>
  <c r="G51"/>
  <c r="G50"/>
  <c r="G49"/>
  <c r="D51"/>
  <c r="D50"/>
  <c r="D49"/>
  <c r="D48"/>
  <c r="G48"/>
  <c r="G33"/>
  <c r="G32"/>
  <c r="G31"/>
  <c r="D33"/>
  <c r="D32"/>
  <c r="D31"/>
  <c r="D30"/>
  <c r="G30"/>
  <c r="G15"/>
  <c r="G14"/>
  <c r="G13"/>
  <c r="D15"/>
  <c r="D14"/>
  <c r="D13"/>
  <c r="G12"/>
  <c r="D12"/>
  <c r="G65"/>
  <c r="G64"/>
  <c r="G63"/>
  <c r="G62"/>
  <c r="D65"/>
  <c r="D64"/>
  <c r="D63"/>
  <c r="D62"/>
  <c r="D47"/>
  <c r="D46"/>
  <c r="D45"/>
  <c r="G47"/>
  <c r="G46"/>
  <c r="G45"/>
  <c r="G44"/>
  <c r="D44"/>
  <c r="G29"/>
  <c r="G28"/>
  <c r="G27"/>
  <c r="D29"/>
  <c r="D28"/>
  <c r="D27"/>
  <c r="D26"/>
  <c r="G26"/>
  <c r="G61"/>
  <c r="G60"/>
  <c r="G59"/>
  <c r="G58"/>
  <c r="D61"/>
  <c r="D60"/>
  <c r="D59"/>
  <c r="D58"/>
  <c r="G43"/>
  <c r="G42"/>
  <c r="G41"/>
  <c r="G25"/>
  <c r="G24"/>
  <c r="G23"/>
  <c r="G22"/>
  <c r="D25"/>
  <c r="D24"/>
  <c r="D23"/>
  <c r="D22"/>
  <c r="G40"/>
  <c r="D43"/>
  <c r="D42"/>
  <c r="D41"/>
  <c r="D40"/>
  <c r="G11"/>
  <c r="G10"/>
  <c r="G9"/>
  <c r="G8"/>
  <c r="D11"/>
  <c r="D10"/>
  <c r="D9"/>
  <c r="D8"/>
  <c r="G7"/>
  <c r="G6"/>
  <c r="G5"/>
  <c r="G4"/>
  <c r="D7"/>
  <c r="D6"/>
  <c r="D5"/>
  <c r="D4"/>
  <c r="B110" i="1"/>
  <c r="B106"/>
  <c r="B102"/>
  <c r="B98"/>
  <c r="B94"/>
  <c r="B90"/>
  <c r="B86"/>
  <c r="B82"/>
  <c r="B78"/>
  <c r="B74"/>
  <c r="B70"/>
  <c r="B66"/>
  <c r="B62"/>
  <c r="B58"/>
  <c r="B54"/>
  <c r="B50"/>
  <c r="B181"/>
  <c r="B177"/>
  <c r="B173"/>
  <c r="B169"/>
  <c r="B165"/>
  <c r="B161"/>
  <c r="B157"/>
  <c r="B153"/>
  <c r="B149"/>
  <c r="B145"/>
  <c r="B141"/>
  <c r="B137"/>
  <c r="B133"/>
  <c r="B129"/>
  <c r="B125"/>
  <c r="B121"/>
  <c r="B252"/>
  <c r="B248"/>
  <c r="B244"/>
  <c r="B240"/>
  <c r="B236"/>
  <c r="B232"/>
  <c r="B228"/>
  <c r="B224"/>
  <c r="B220"/>
  <c r="B216"/>
  <c r="B212"/>
  <c r="B208"/>
  <c r="B204"/>
  <c r="B200"/>
  <c r="B196"/>
  <c r="B192"/>
  <c r="B323"/>
  <c r="B319"/>
  <c r="B315"/>
  <c r="B311"/>
  <c r="B307"/>
  <c r="B303"/>
  <c r="B299"/>
  <c r="B295"/>
  <c r="B291"/>
  <c r="B287"/>
  <c r="B283"/>
  <c r="B279"/>
  <c r="B275"/>
  <c r="B271"/>
  <c r="B267"/>
  <c r="B263"/>
  <c r="G73" i="7"/>
  <c r="G72"/>
  <c r="G71"/>
  <c r="G70"/>
  <c r="F70"/>
  <c r="D73"/>
  <c r="D72"/>
  <c r="D71"/>
  <c r="D70"/>
  <c r="D55"/>
  <c r="D54"/>
  <c r="D53"/>
  <c r="G55"/>
  <c r="G54"/>
  <c r="G53"/>
  <c r="G52"/>
  <c r="D52"/>
  <c r="G37"/>
  <c r="G36"/>
  <c r="G35"/>
  <c r="G34"/>
  <c r="D37"/>
  <c r="D36"/>
  <c r="D35"/>
  <c r="D34"/>
  <c r="D19"/>
  <c r="D18"/>
  <c r="D17"/>
  <c r="D16"/>
  <c r="G19"/>
  <c r="G18"/>
  <c r="G17"/>
  <c r="G16"/>
  <c r="G69"/>
  <c r="G68"/>
  <c r="G67"/>
  <c r="G66"/>
  <c r="D69"/>
  <c r="D68"/>
  <c r="D67"/>
  <c r="D66"/>
  <c r="G51"/>
  <c r="G50"/>
  <c r="G49"/>
  <c r="G48"/>
  <c r="D51"/>
  <c r="D50"/>
  <c r="D49"/>
  <c r="D48"/>
  <c r="G33"/>
  <c r="G32"/>
  <c r="G31"/>
  <c r="D33"/>
  <c r="D32"/>
  <c r="D31"/>
  <c r="G30"/>
  <c r="D30"/>
  <c r="G15"/>
  <c r="G14"/>
  <c r="G13"/>
  <c r="G12"/>
  <c r="D15"/>
  <c r="D14"/>
  <c r="D13"/>
  <c r="D12"/>
  <c r="G65"/>
  <c r="G64"/>
  <c r="G63"/>
  <c r="D65"/>
  <c r="D64"/>
  <c r="D63"/>
  <c r="G62"/>
  <c r="D62"/>
  <c r="G47"/>
  <c r="G46"/>
  <c r="G45"/>
  <c r="D47"/>
  <c r="D46"/>
  <c r="D45"/>
  <c r="G44"/>
  <c r="D44"/>
  <c r="G29"/>
  <c r="G28"/>
  <c r="G27"/>
  <c r="D29"/>
  <c r="D28"/>
  <c r="D27"/>
  <c r="G26"/>
  <c r="D26"/>
  <c r="G11"/>
  <c r="G10"/>
  <c r="G9"/>
  <c r="D11"/>
  <c r="D10"/>
  <c r="D9"/>
  <c r="G8"/>
  <c r="D8"/>
  <c r="D61"/>
  <c r="D60"/>
  <c r="D59"/>
  <c r="G61"/>
  <c r="G60"/>
  <c r="G59"/>
  <c r="D25"/>
  <c r="D24"/>
  <c r="D23"/>
  <c r="D22"/>
  <c r="G7"/>
  <c r="G6"/>
  <c r="G5"/>
  <c r="D7"/>
  <c r="D6"/>
  <c r="D5"/>
  <c r="K367" i="1"/>
  <c r="I367"/>
  <c r="I185"/>
  <c r="K185"/>
  <c r="G41" i="7"/>
  <c r="D41"/>
  <c r="K43" i="1"/>
  <c r="K115"/>
  <c r="K114"/>
  <c r="I114"/>
  <c r="D4" i="7"/>
  <c r="G4"/>
  <c r="D40"/>
  <c r="G40"/>
  <c r="D42"/>
  <c r="G42"/>
  <c r="D43"/>
  <c r="G43"/>
  <c r="D58"/>
  <c r="G58"/>
  <c r="K116" i="1"/>
  <c r="K186"/>
  <c r="K187"/>
  <c r="K257"/>
  <c r="K258"/>
  <c r="K328"/>
  <c r="K329"/>
  <c r="K368"/>
  <c r="K369"/>
  <c r="I43"/>
  <c r="I115"/>
  <c r="I116"/>
  <c r="I186"/>
  <c r="I187"/>
  <c r="I257"/>
  <c r="I258"/>
  <c r="I328"/>
  <c r="I329"/>
  <c r="I368"/>
  <c r="I369"/>
  <c r="B3"/>
  <c r="B1" i="6"/>
  <c r="B1" i="7"/>
</calcChain>
</file>

<file path=xl/comments1.xml><?xml version="1.0" encoding="utf-8"?>
<comments xmlns="http://schemas.openxmlformats.org/spreadsheetml/2006/main">
  <authors>
    <author>U658600</author>
  </authors>
  <commentList>
    <comment ref="K54" authorId="0">
      <text>
        <r>
          <rPr>
            <b/>
            <sz val="9"/>
            <color indexed="81"/>
            <rFont val="Tahoma"/>
            <family val="2"/>
          </rPr>
          <t>NOTES:</t>
        </r>
        <r>
          <rPr>
            <sz val="9"/>
            <color indexed="81"/>
            <rFont val="Tahoma"/>
            <family val="2"/>
          </rPr>
          <t xml:space="preserve">
Points automatically calculated and totalled for each team by event.</t>
        </r>
      </text>
    </comment>
    <comment ref="K62" authorId="0">
      <text>
        <r>
          <rPr>
            <b/>
            <sz val="9"/>
            <color indexed="81"/>
            <rFont val="Tahoma"/>
            <family val="2"/>
          </rPr>
          <t>NOTES:</t>
        </r>
        <r>
          <rPr>
            <sz val="9"/>
            <color indexed="81"/>
            <rFont val="Tahoma"/>
            <family val="2"/>
          </rPr>
          <t xml:space="preserve">
Points automatically calculated and totalled for each team by event.</t>
        </r>
      </text>
    </comment>
    <comment ref="K70" authorId="0">
      <text>
        <r>
          <rPr>
            <b/>
            <sz val="9"/>
            <color indexed="81"/>
            <rFont val="Tahoma"/>
            <family val="2"/>
          </rPr>
          <t>NOTES:</t>
        </r>
        <r>
          <rPr>
            <sz val="9"/>
            <color indexed="81"/>
            <rFont val="Tahoma"/>
            <family val="2"/>
          </rPr>
          <t xml:space="preserve">
Points automatically calculated and totalled for each team by event.</t>
        </r>
      </text>
    </comment>
    <comment ref="K78" authorId="0">
      <text>
        <r>
          <rPr>
            <b/>
            <sz val="9"/>
            <color indexed="81"/>
            <rFont val="Tahoma"/>
            <family val="2"/>
          </rPr>
          <t>NOTES:</t>
        </r>
        <r>
          <rPr>
            <sz val="9"/>
            <color indexed="81"/>
            <rFont val="Tahoma"/>
            <family val="2"/>
          </rPr>
          <t xml:space="preserve">
Points automatically calculated and totalled for each team by event.</t>
        </r>
      </text>
    </comment>
    <comment ref="K86" authorId="0">
      <text>
        <r>
          <rPr>
            <b/>
            <sz val="9"/>
            <color indexed="81"/>
            <rFont val="Tahoma"/>
            <family val="2"/>
          </rPr>
          <t>NOTES:</t>
        </r>
        <r>
          <rPr>
            <sz val="9"/>
            <color indexed="81"/>
            <rFont val="Tahoma"/>
            <family val="2"/>
          </rPr>
          <t xml:space="preserve">
Points automatically calculated and totalled for each team by event.</t>
        </r>
      </text>
    </comment>
    <comment ref="K94" authorId="0">
      <text>
        <r>
          <rPr>
            <b/>
            <sz val="9"/>
            <color indexed="81"/>
            <rFont val="Tahoma"/>
            <family val="2"/>
          </rPr>
          <t>NOTES:</t>
        </r>
        <r>
          <rPr>
            <sz val="9"/>
            <color indexed="81"/>
            <rFont val="Tahoma"/>
            <family val="2"/>
          </rPr>
          <t xml:space="preserve">
Points automatically calculated and totalled for each team by event.</t>
        </r>
      </text>
    </comment>
    <comment ref="K102" authorId="0">
      <text>
        <r>
          <rPr>
            <b/>
            <sz val="9"/>
            <color indexed="81"/>
            <rFont val="Tahoma"/>
            <family val="2"/>
          </rPr>
          <t>NOTES:</t>
        </r>
        <r>
          <rPr>
            <sz val="9"/>
            <color indexed="81"/>
            <rFont val="Tahoma"/>
            <family val="2"/>
          </rPr>
          <t xml:space="preserve">
Points automatically calculated and totalled for each team by event.</t>
        </r>
      </text>
    </comment>
    <comment ref="K110" authorId="0">
      <text>
        <r>
          <rPr>
            <b/>
            <sz val="9"/>
            <color indexed="81"/>
            <rFont val="Tahoma"/>
            <family val="2"/>
          </rPr>
          <t>NOTES:</t>
        </r>
        <r>
          <rPr>
            <sz val="9"/>
            <color indexed="81"/>
            <rFont val="Tahoma"/>
            <family val="2"/>
          </rPr>
          <t xml:space="preserve">
Points automatically calculated and totalled for each team by event.</t>
        </r>
      </text>
    </comment>
    <comment ref="K125" authorId="0">
      <text>
        <r>
          <rPr>
            <b/>
            <sz val="9"/>
            <color indexed="81"/>
            <rFont val="Tahoma"/>
            <family val="2"/>
          </rPr>
          <t>NOTES:</t>
        </r>
        <r>
          <rPr>
            <sz val="9"/>
            <color indexed="81"/>
            <rFont val="Tahoma"/>
            <family val="2"/>
          </rPr>
          <t xml:space="preserve">
Points automatically calculated and totalled for each team by event.</t>
        </r>
      </text>
    </comment>
    <comment ref="K133" authorId="0">
      <text>
        <r>
          <rPr>
            <b/>
            <sz val="9"/>
            <color indexed="81"/>
            <rFont val="Tahoma"/>
            <family val="2"/>
          </rPr>
          <t>NOTES:</t>
        </r>
        <r>
          <rPr>
            <sz val="9"/>
            <color indexed="81"/>
            <rFont val="Tahoma"/>
            <family val="2"/>
          </rPr>
          <t xml:space="preserve">
Points automatically calculated and totalled for each team by event.</t>
        </r>
      </text>
    </comment>
    <comment ref="K141" authorId="0">
      <text>
        <r>
          <rPr>
            <b/>
            <sz val="9"/>
            <color indexed="81"/>
            <rFont val="Tahoma"/>
            <family val="2"/>
          </rPr>
          <t>NOTES:</t>
        </r>
        <r>
          <rPr>
            <sz val="9"/>
            <color indexed="81"/>
            <rFont val="Tahoma"/>
            <family val="2"/>
          </rPr>
          <t xml:space="preserve">
Points automatically calculated and totalled for each team by event.</t>
        </r>
      </text>
    </comment>
    <comment ref="K149" authorId="0">
      <text>
        <r>
          <rPr>
            <b/>
            <sz val="9"/>
            <color indexed="81"/>
            <rFont val="Tahoma"/>
            <family val="2"/>
          </rPr>
          <t>NOTES:</t>
        </r>
        <r>
          <rPr>
            <sz val="9"/>
            <color indexed="81"/>
            <rFont val="Tahoma"/>
            <family val="2"/>
          </rPr>
          <t xml:space="preserve">
Points automatically calculated and totalled for each team by event.</t>
        </r>
      </text>
    </comment>
    <comment ref="K157" authorId="0">
      <text>
        <r>
          <rPr>
            <b/>
            <sz val="9"/>
            <color indexed="81"/>
            <rFont val="Tahoma"/>
            <family val="2"/>
          </rPr>
          <t>NOTES:</t>
        </r>
        <r>
          <rPr>
            <sz val="9"/>
            <color indexed="81"/>
            <rFont val="Tahoma"/>
            <family val="2"/>
          </rPr>
          <t xml:space="preserve">
Points automatically calculated and totalled for each team by event.</t>
        </r>
      </text>
    </comment>
    <comment ref="K165" authorId="0">
      <text>
        <r>
          <rPr>
            <b/>
            <sz val="9"/>
            <color indexed="81"/>
            <rFont val="Tahoma"/>
            <family val="2"/>
          </rPr>
          <t>NOTES:</t>
        </r>
        <r>
          <rPr>
            <sz val="9"/>
            <color indexed="81"/>
            <rFont val="Tahoma"/>
            <family val="2"/>
          </rPr>
          <t xml:space="preserve">
Points automatically calculated and totalled for each team by event.</t>
        </r>
      </text>
    </comment>
    <comment ref="K173" authorId="0">
      <text>
        <r>
          <rPr>
            <b/>
            <sz val="9"/>
            <color indexed="81"/>
            <rFont val="Tahoma"/>
            <family val="2"/>
          </rPr>
          <t>NOTES:</t>
        </r>
        <r>
          <rPr>
            <sz val="9"/>
            <color indexed="81"/>
            <rFont val="Tahoma"/>
            <family val="2"/>
          </rPr>
          <t xml:space="preserve">
Points automatically calculated and totalled for each team by event.</t>
        </r>
      </text>
    </comment>
    <comment ref="K181" authorId="0">
      <text>
        <r>
          <rPr>
            <b/>
            <sz val="9"/>
            <color indexed="81"/>
            <rFont val="Tahoma"/>
            <family val="2"/>
          </rPr>
          <t>NOTES:</t>
        </r>
        <r>
          <rPr>
            <sz val="9"/>
            <color indexed="81"/>
            <rFont val="Tahoma"/>
            <family val="2"/>
          </rPr>
          <t xml:space="preserve">
Points automatically calculated and totalled for each team by event.</t>
        </r>
      </text>
    </comment>
    <comment ref="K196" authorId="0">
      <text>
        <r>
          <rPr>
            <b/>
            <sz val="9"/>
            <color indexed="81"/>
            <rFont val="Tahoma"/>
            <family val="2"/>
          </rPr>
          <t>NOTES:</t>
        </r>
        <r>
          <rPr>
            <sz val="9"/>
            <color indexed="81"/>
            <rFont val="Tahoma"/>
            <family val="2"/>
          </rPr>
          <t xml:space="preserve">
Points automatically calculated and totalled for each team by event.</t>
        </r>
      </text>
    </comment>
    <comment ref="K204" authorId="0">
      <text>
        <r>
          <rPr>
            <b/>
            <sz val="9"/>
            <color indexed="81"/>
            <rFont val="Tahoma"/>
            <family val="2"/>
          </rPr>
          <t>NOTES:</t>
        </r>
        <r>
          <rPr>
            <sz val="9"/>
            <color indexed="81"/>
            <rFont val="Tahoma"/>
            <family val="2"/>
          </rPr>
          <t xml:space="preserve">
Points automatically calculated and totalled for each team by event.</t>
        </r>
      </text>
    </comment>
    <comment ref="K212" authorId="0">
      <text>
        <r>
          <rPr>
            <b/>
            <sz val="9"/>
            <color indexed="81"/>
            <rFont val="Tahoma"/>
            <family val="2"/>
          </rPr>
          <t>NOTES:</t>
        </r>
        <r>
          <rPr>
            <sz val="9"/>
            <color indexed="81"/>
            <rFont val="Tahoma"/>
            <family val="2"/>
          </rPr>
          <t xml:space="preserve">
Points automatically calculated and totalled for each team by event.</t>
        </r>
      </text>
    </comment>
    <comment ref="K220" authorId="0">
      <text>
        <r>
          <rPr>
            <b/>
            <sz val="9"/>
            <color indexed="81"/>
            <rFont val="Tahoma"/>
            <family val="2"/>
          </rPr>
          <t>NOTES:</t>
        </r>
        <r>
          <rPr>
            <sz val="9"/>
            <color indexed="81"/>
            <rFont val="Tahoma"/>
            <family val="2"/>
          </rPr>
          <t xml:space="preserve">
Points automatically calculated and totalled for each team by event.</t>
        </r>
      </text>
    </comment>
    <comment ref="K228" authorId="0">
      <text>
        <r>
          <rPr>
            <b/>
            <sz val="9"/>
            <color indexed="81"/>
            <rFont val="Tahoma"/>
            <family val="2"/>
          </rPr>
          <t>NOTES:</t>
        </r>
        <r>
          <rPr>
            <sz val="9"/>
            <color indexed="81"/>
            <rFont val="Tahoma"/>
            <family val="2"/>
          </rPr>
          <t xml:space="preserve">
Points automatically calculated and totalled for each team by event.</t>
        </r>
      </text>
    </comment>
    <comment ref="K236" authorId="0">
      <text>
        <r>
          <rPr>
            <b/>
            <sz val="9"/>
            <color indexed="81"/>
            <rFont val="Tahoma"/>
            <family val="2"/>
          </rPr>
          <t>NOTES:</t>
        </r>
        <r>
          <rPr>
            <sz val="9"/>
            <color indexed="81"/>
            <rFont val="Tahoma"/>
            <family val="2"/>
          </rPr>
          <t xml:space="preserve">
Points automatically calculated and totalled for each team by event.</t>
        </r>
      </text>
    </comment>
    <comment ref="K244" authorId="0">
      <text>
        <r>
          <rPr>
            <b/>
            <sz val="9"/>
            <color indexed="81"/>
            <rFont val="Tahoma"/>
            <family val="2"/>
          </rPr>
          <t>NOTES:</t>
        </r>
        <r>
          <rPr>
            <sz val="9"/>
            <color indexed="81"/>
            <rFont val="Tahoma"/>
            <family val="2"/>
          </rPr>
          <t xml:space="preserve">
Points automatically calculated and totalled for each team by event.</t>
        </r>
      </text>
    </comment>
    <comment ref="K252" authorId="0">
      <text>
        <r>
          <rPr>
            <b/>
            <sz val="9"/>
            <color indexed="81"/>
            <rFont val="Tahoma"/>
            <family val="2"/>
          </rPr>
          <t>NOTES:</t>
        </r>
        <r>
          <rPr>
            <sz val="9"/>
            <color indexed="81"/>
            <rFont val="Tahoma"/>
            <family val="2"/>
          </rPr>
          <t xml:space="preserve">
Points automatically calculated and totalled for each team by event.</t>
        </r>
      </text>
    </comment>
    <comment ref="K267" authorId="0">
      <text>
        <r>
          <rPr>
            <b/>
            <sz val="9"/>
            <color indexed="81"/>
            <rFont val="Tahoma"/>
            <family val="2"/>
          </rPr>
          <t>NOTES:</t>
        </r>
        <r>
          <rPr>
            <sz val="9"/>
            <color indexed="81"/>
            <rFont val="Tahoma"/>
            <family val="2"/>
          </rPr>
          <t xml:space="preserve">
Points automatically calculated and totalled for each team by event.</t>
        </r>
      </text>
    </comment>
    <comment ref="K275" authorId="0">
      <text>
        <r>
          <rPr>
            <b/>
            <sz val="9"/>
            <color indexed="81"/>
            <rFont val="Tahoma"/>
            <family val="2"/>
          </rPr>
          <t>NOTES:</t>
        </r>
        <r>
          <rPr>
            <sz val="9"/>
            <color indexed="81"/>
            <rFont val="Tahoma"/>
            <family val="2"/>
          </rPr>
          <t xml:space="preserve">
Points automatically calculated and totalled for each team by event.</t>
        </r>
      </text>
    </comment>
    <comment ref="K283" authorId="0">
      <text>
        <r>
          <rPr>
            <b/>
            <sz val="9"/>
            <color indexed="81"/>
            <rFont val="Tahoma"/>
            <family val="2"/>
          </rPr>
          <t>NOTES:</t>
        </r>
        <r>
          <rPr>
            <sz val="9"/>
            <color indexed="81"/>
            <rFont val="Tahoma"/>
            <family val="2"/>
          </rPr>
          <t xml:space="preserve">
Points automatically calculated and totalled for each team by event.</t>
        </r>
      </text>
    </comment>
    <comment ref="K291" authorId="0">
      <text>
        <r>
          <rPr>
            <b/>
            <sz val="9"/>
            <color indexed="81"/>
            <rFont val="Tahoma"/>
            <family val="2"/>
          </rPr>
          <t>NOTES:</t>
        </r>
        <r>
          <rPr>
            <sz val="9"/>
            <color indexed="81"/>
            <rFont val="Tahoma"/>
            <family val="2"/>
          </rPr>
          <t xml:space="preserve">
Points automatically calculated and totalled for each team by event.</t>
        </r>
      </text>
    </comment>
    <comment ref="K299" authorId="0">
      <text>
        <r>
          <rPr>
            <b/>
            <sz val="9"/>
            <color indexed="81"/>
            <rFont val="Tahoma"/>
            <family val="2"/>
          </rPr>
          <t>NOTES:</t>
        </r>
        <r>
          <rPr>
            <sz val="9"/>
            <color indexed="81"/>
            <rFont val="Tahoma"/>
            <family val="2"/>
          </rPr>
          <t xml:space="preserve">
Points automatically calculated and totalled for each team by event.</t>
        </r>
      </text>
    </comment>
    <comment ref="K307" authorId="0">
      <text>
        <r>
          <rPr>
            <b/>
            <sz val="9"/>
            <color indexed="81"/>
            <rFont val="Tahoma"/>
            <family val="2"/>
          </rPr>
          <t>NOTES:</t>
        </r>
        <r>
          <rPr>
            <sz val="9"/>
            <color indexed="81"/>
            <rFont val="Tahoma"/>
            <family val="2"/>
          </rPr>
          <t xml:space="preserve">
Points automatically calculated and totalled for each team by event.</t>
        </r>
      </text>
    </comment>
    <comment ref="K315" authorId="0">
      <text>
        <r>
          <rPr>
            <b/>
            <sz val="9"/>
            <color indexed="81"/>
            <rFont val="Tahoma"/>
            <family val="2"/>
          </rPr>
          <t>NOTES:</t>
        </r>
        <r>
          <rPr>
            <sz val="9"/>
            <color indexed="81"/>
            <rFont val="Tahoma"/>
            <family val="2"/>
          </rPr>
          <t xml:space="preserve">
Points automatically calculated and totalled for each team by event.</t>
        </r>
      </text>
    </comment>
    <comment ref="K323" authorId="0">
      <text>
        <r>
          <rPr>
            <b/>
            <sz val="9"/>
            <color indexed="81"/>
            <rFont val="Tahoma"/>
            <family val="2"/>
          </rPr>
          <t>NOTES:</t>
        </r>
        <r>
          <rPr>
            <sz val="9"/>
            <color indexed="81"/>
            <rFont val="Tahoma"/>
            <family val="2"/>
          </rPr>
          <t xml:space="preserve">
Points automatically calculated and totalled for each team by event.</t>
        </r>
      </text>
    </comment>
  </commentList>
</comments>
</file>

<file path=xl/sharedStrings.xml><?xml version="1.0" encoding="utf-8"?>
<sst xmlns="http://schemas.openxmlformats.org/spreadsheetml/2006/main" count="778" uniqueCount="198">
  <si>
    <t>Event</t>
  </si>
  <si>
    <t>Club</t>
  </si>
  <si>
    <t>Lane</t>
  </si>
  <si>
    <t>Swimmer</t>
  </si>
  <si>
    <t>Time</t>
  </si>
  <si>
    <t>Place</t>
  </si>
  <si>
    <t>Points</t>
  </si>
  <si>
    <t>A</t>
  </si>
  <si>
    <t>GIRLS</t>
  </si>
  <si>
    <t>BOYS</t>
  </si>
  <si>
    <t>B</t>
  </si>
  <si>
    <t>C</t>
  </si>
  <si>
    <t>D</t>
  </si>
  <si>
    <t>Sub tot</t>
  </si>
  <si>
    <t>B/F tot</t>
  </si>
  <si>
    <t>b/f tot</t>
  </si>
  <si>
    <t>MEDLEY TEAM RELAY</t>
  </si>
  <si>
    <t>FREESTYLE TEAM RELAY</t>
  </si>
  <si>
    <t>Total</t>
  </si>
  <si>
    <t>BUTTERFLY</t>
  </si>
  <si>
    <t>BREASTSTROKE</t>
  </si>
  <si>
    <t>BACKSTROKE</t>
  </si>
  <si>
    <r>
      <t>Venue:</t>
    </r>
    <r>
      <rPr>
        <sz val="10"/>
        <rFont val="Arial"/>
        <family val="2"/>
      </rPr>
      <t xml:space="preserve">  </t>
    </r>
  </si>
  <si>
    <t>FRONT CRAWL</t>
  </si>
  <si>
    <t>Event No</t>
  </si>
  <si>
    <t>Lane 2</t>
  </si>
  <si>
    <t>Lane 4</t>
  </si>
  <si>
    <t>Lane 6</t>
  </si>
  <si>
    <t>AQUASPRINTS SCORING SHEET</t>
  </si>
  <si>
    <t>Name of AWAY Team</t>
  </si>
  <si>
    <t>Name of HOME Team</t>
  </si>
  <si>
    <t>Lane 1</t>
  </si>
  <si>
    <t>Lane 3</t>
  </si>
  <si>
    <t>Lane 5</t>
  </si>
  <si>
    <t>Group A Girls</t>
  </si>
  <si>
    <t>Group A Boys</t>
  </si>
  <si>
    <t>Group B Girls</t>
  </si>
  <si>
    <t>Group B Boys</t>
  </si>
  <si>
    <t>Group C Girls</t>
  </si>
  <si>
    <t>Group C Boys</t>
  </si>
  <si>
    <t>Group D Girls</t>
  </si>
  <si>
    <t>Group D Boys</t>
  </si>
  <si>
    <t xml:space="preserve"> </t>
  </si>
  <si>
    <t>Gp A Medley Relay</t>
  </si>
  <si>
    <t>Gp B Medley Relay</t>
  </si>
  <si>
    <t>Gp C Medley Relay</t>
  </si>
  <si>
    <t>Gp D Medley Relay</t>
  </si>
  <si>
    <t>Gp A Free Relay</t>
  </si>
  <si>
    <t>Gp B Free Relay</t>
  </si>
  <si>
    <t>Gp C Free Relay</t>
  </si>
  <si>
    <t>Gp D Free Relay</t>
  </si>
  <si>
    <t>Lane 7</t>
  </si>
  <si>
    <t>Lane 8</t>
  </si>
  <si>
    <t>Lagan Valley Leisureplex</t>
  </si>
  <si>
    <t>Lisburn</t>
  </si>
  <si>
    <t>BREASTSTOKE</t>
  </si>
  <si>
    <t>Descriptions/Instructions</t>
  </si>
  <si>
    <t>HomeTeam</t>
  </si>
  <si>
    <t>Enter Home Team Swimmers in this sheet. Remember to put Team Name in column C, row 4.
Print out for marshals.</t>
  </si>
  <si>
    <t>AwayTeam</t>
  </si>
  <si>
    <t>Enter Away Team Swimmers in this sheet. Remember to put Team Name in column C, row 4.
Print out for marshals.</t>
  </si>
  <si>
    <t>HomeTeam - Tracking</t>
  </si>
  <si>
    <t>Home Team Swimmers Names will automatically fill in from the HomeTeam Sheet. 
Print out and use at Gala to have a rough indication of scores as the gala progresses.</t>
  </si>
  <si>
    <t>AwayTeam - Tracking</t>
  </si>
  <si>
    <t>Away Team Swimmers Names will automatically fill in from the HomeTeam Sheet. 
Print out and use at Gala to have a rough indication of scores as the gala progresses.</t>
  </si>
  <si>
    <t>Recording Sheet</t>
  </si>
  <si>
    <t>HomeTeamAnalysis</t>
  </si>
  <si>
    <t>Print out only.
No action required. This sheet will be automatically updated from the RecordingSheet.</t>
  </si>
  <si>
    <t>AwayTeamAnalysis</t>
  </si>
  <si>
    <t>Girls GpA Bk</t>
  </si>
  <si>
    <t>Girls GpB Bk</t>
  </si>
  <si>
    <t>Girls GpC Bk</t>
  </si>
  <si>
    <t>Girls GpD Bk</t>
  </si>
  <si>
    <t>Girls GpA Brs</t>
  </si>
  <si>
    <t>Girls GpB Brs</t>
  </si>
  <si>
    <t>Girls GpC Brs</t>
  </si>
  <si>
    <t>Girls Gp D Brs</t>
  </si>
  <si>
    <t>Girls GpA Fly</t>
  </si>
  <si>
    <t>Girls GpB Fly</t>
  </si>
  <si>
    <t>Girls GpC Fly</t>
  </si>
  <si>
    <t>Girls GpD Fly</t>
  </si>
  <si>
    <t>Girls GpA Front</t>
  </si>
  <si>
    <t>Girls GpB Front</t>
  </si>
  <si>
    <t>Girls GpC Front</t>
  </si>
  <si>
    <t>Girls GpD Front</t>
  </si>
  <si>
    <t>Boys GpA Bk</t>
  </si>
  <si>
    <t>Boys GpB Bk</t>
  </si>
  <si>
    <t>Boys GpC Bk</t>
  </si>
  <si>
    <t>Boys GpD Bk</t>
  </si>
  <si>
    <t>Boys GpA Brs</t>
  </si>
  <si>
    <t>Boys GpB Brs</t>
  </si>
  <si>
    <t>Boys GpC Brs</t>
  </si>
  <si>
    <t>Boys Gp D Brs</t>
  </si>
  <si>
    <t>Boys GpA Fly</t>
  </si>
  <si>
    <t>Boys GpB Fly</t>
  </si>
  <si>
    <t>Boys GpC Fly</t>
  </si>
  <si>
    <t>Boys GpD Fly</t>
  </si>
  <si>
    <t>Boys GpA Front</t>
  </si>
  <si>
    <t>Boys GpB Front</t>
  </si>
  <si>
    <t>Boys GpC Front</t>
  </si>
  <si>
    <t>Boys GpD Front</t>
  </si>
  <si>
    <t>H</t>
  </si>
  <si>
    <t>AWAY Team</t>
  </si>
  <si>
    <t>No</t>
  </si>
  <si>
    <t xml:space="preserve">Total for Girls Backstroke  </t>
  </si>
  <si>
    <t xml:space="preserve">Total for Boys Backstroke  </t>
  </si>
  <si>
    <t xml:space="preserve">Total for Medley Relays  </t>
  </si>
  <si>
    <t xml:space="preserve">TOTAL after BACKSTROKE  </t>
  </si>
  <si>
    <t xml:space="preserve">Total for Boys Breaststroke </t>
  </si>
  <si>
    <t xml:space="preserve">TOTAL after BREASTSTROKE  </t>
  </si>
  <si>
    <t xml:space="preserve">Total for Girls Breaststroke  </t>
  </si>
  <si>
    <t xml:space="preserve">Total for Girls Butterfly  </t>
  </si>
  <si>
    <t xml:space="preserve">Total for Boys Butterfly  </t>
  </si>
  <si>
    <t xml:space="preserve">TOTAL after BUTTERFLY  </t>
  </si>
  <si>
    <t xml:space="preserve">Total for Girls Frontcrawl  </t>
  </si>
  <si>
    <t xml:space="preserve">Total for Boys Frontcrawl  </t>
  </si>
  <si>
    <t xml:space="preserve">TOTAL after FRONT CRAWL  </t>
  </si>
  <si>
    <t xml:space="preserve">Total for Free Style Relays  </t>
  </si>
  <si>
    <t xml:space="preserve">TOTAL SCORE  </t>
  </si>
  <si>
    <t>HOME Team</t>
  </si>
  <si>
    <r>
      <t xml:space="preserve">Swimmers names will automatically fill in from the HomeTeam and AwayTeam sheets.
</t>
    </r>
    <r>
      <rPr>
        <i/>
        <sz val="12"/>
        <color indexed="8"/>
        <rFont val="Verdana"/>
        <family val="2"/>
      </rPr>
      <t>Relays</t>
    </r>
    <r>
      <rPr>
        <sz val="12"/>
        <color indexed="8"/>
        <rFont val="Verdana"/>
        <family val="2"/>
      </rPr>
      <t xml:space="preserve"> - only fill in the place of the AwayTeam. HomeTeam place, points for Away and Home teams will automatically update.
</t>
    </r>
    <r>
      <rPr>
        <i/>
        <sz val="12"/>
        <color indexed="8"/>
        <rFont val="Verdana"/>
        <family val="2"/>
      </rPr>
      <t xml:space="preserve">Individuals </t>
    </r>
    <r>
      <rPr>
        <sz val="12"/>
        <color indexed="8"/>
        <rFont val="Verdana"/>
        <family val="2"/>
      </rPr>
      <t xml:space="preserve">- fill in times and places (you need only fill in places 1 to 4) and the points will be automatically calculated and totalled for each team for each event.
</t>
    </r>
  </si>
  <si>
    <t>#</t>
  </si>
  <si>
    <t>Date 29/04/18</t>
  </si>
  <si>
    <t>Limavady</t>
  </si>
  <si>
    <t>Grace Gallagher</t>
  </si>
  <si>
    <t>Tom Cormie</t>
  </si>
  <si>
    <t>Isobella Mc Carron</t>
  </si>
  <si>
    <t>Aodhan Gallagher</t>
  </si>
  <si>
    <t>Jack Mc Gookin</t>
  </si>
  <si>
    <t>Henry Connell</t>
  </si>
  <si>
    <t>Harry Butcher</t>
  </si>
  <si>
    <t>Caelyn O Connor</t>
  </si>
  <si>
    <t>Miya Mc Clamont</t>
  </si>
  <si>
    <t>Maise Campbell</t>
  </si>
  <si>
    <t>Luke Blair</t>
  </si>
  <si>
    <t>Eoin Mc Alinden</t>
  </si>
  <si>
    <t>Fiona O Neill</t>
  </si>
  <si>
    <t>Jamie Mellon</t>
  </si>
  <si>
    <t>Adam Gallagher</t>
  </si>
  <si>
    <t>Emilia Kingston</t>
  </si>
  <si>
    <t>Oliver Smith</t>
  </si>
  <si>
    <t>Evie Connor</t>
  </si>
  <si>
    <t>Clea Moore</t>
  </si>
  <si>
    <t>Alexander Blaha</t>
  </si>
  <si>
    <t>Brooke Mc Clamont</t>
  </si>
  <si>
    <t>Kensa Lawry</t>
  </si>
  <si>
    <t>Lewis Robinson</t>
  </si>
  <si>
    <t>Anna Mc Gookin</t>
  </si>
  <si>
    <t>Amy Mc Gurk</t>
  </si>
  <si>
    <t>Cailean Gallagher</t>
  </si>
  <si>
    <t>Otis Irwin</t>
  </si>
  <si>
    <t>Ellen Gibbons</t>
  </si>
  <si>
    <t>Emma Gallagher</t>
  </si>
  <si>
    <t>Alice Cladwell</t>
  </si>
  <si>
    <t>Sofie Halcrow</t>
  </si>
  <si>
    <t>Emila Kingston</t>
  </si>
  <si>
    <t>Abbi Craig</t>
  </si>
  <si>
    <t>Emily Butcher</t>
  </si>
  <si>
    <t>Erin Callaghan</t>
  </si>
  <si>
    <t>Niamh Mc Henry</t>
  </si>
  <si>
    <t>Eva Campbell</t>
  </si>
  <si>
    <t>Rose Mc Laughlin</t>
  </si>
  <si>
    <t>Annaleece Heatherington</t>
  </si>
  <si>
    <t>Cara Gallagher</t>
  </si>
  <si>
    <t>Rebecca Sweeney</t>
  </si>
  <si>
    <t>Ollie Mc Macken</t>
  </si>
  <si>
    <t>Cody Blair</t>
  </si>
  <si>
    <t>Kevin Mc Macken</t>
  </si>
  <si>
    <t>Charlie Whiteside</t>
  </si>
  <si>
    <t>Sam S H</t>
  </si>
  <si>
    <t>Toby Dinsmore</t>
  </si>
  <si>
    <t>Annaleece Hetheringn</t>
  </si>
  <si>
    <t>Joshua Hunt</t>
  </si>
  <si>
    <t>Ben Dinsmore</t>
  </si>
  <si>
    <t>Rebecca Sweeny</t>
  </si>
  <si>
    <t>Jude Williams</t>
  </si>
  <si>
    <t>Alex Whiteside</t>
  </si>
  <si>
    <t>Tom Mc Shane</t>
  </si>
  <si>
    <t>Ollie Mc Mackin</t>
  </si>
  <si>
    <t>Ollie Mc Mc Macken</t>
  </si>
  <si>
    <t>Annaleece Hetherington</t>
  </si>
  <si>
    <t>01.33.27</t>
  </si>
  <si>
    <t>01.32.01</t>
  </si>
  <si>
    <t>1.19.52</t>
  </si>
  <si>
    <t>1.19.87</t>
  </si>
  <si>
    <t>1.14.27</t>
  </si>
  <si>
    <t>1.15.90</t>
  </si>
  <si>
    <t>1.06.75</t>
  </si>
  <si>
    <t>1.15.63</t>
  </si>
  <si>
    <t>1.21.52</t>
  </si>
  <si>
    <t>1.24.41</t>
  </si>
  <si>
    <t>1.10.80</t>
  </si>
  <si>
    <t>1.14.21</t>
  </si>
  <si>
    <t>1.05.66</t>
  </si>
  <si>
    <t>1.10.56</t>
  </si>
  <si>
    <t>1.08.41</t>
  </si>
  <si>
    <t>Ma</t>
  </si>
  <si>
    <t>Eva Campell</t>
  </si>
</sst>
</file>

<file path=xl/styles.xml><?xml version="1.0" encoding="utf-8"?>
<styleSheet xmlns="http://schemas.openxmlformats.org/spreadsheetml/2006/main">
  <numFmts count="1">
    <numFmt numFmtId="164" formatCode="[$-F800]dddd\,\ mmmm\ dd\,\ yyyy"/>
  </numFmts>
  <fonts count="25">
    <font>
      <sz val="10"/>
      <name val="Arial"/>
    </font>
    <font>
      <sz val="11"/>
      <color theme="1"/>
      <name val="Calibri"/>
      <family val="2"/>
      <scheme val="minor"/>
    </font>
    <font>
      <sz val="10"/>
      <name val="Arial"/>
    </font>
    <font>
      <sz val="12"/>
      <name val="Arial"/>
      <family val="2"/>
    </font>
    <font>
      <u/>
      <sz val="12"/>
      <name val="Arial"/>
      <family val="2"/>
    </font>
    <font>
      <sz val="10"/>
      <name val="Arial"/>
      <family val="2"/>
    </font>
    <font>
      <b/>
      <sz val="10"/>
      <name val="Arial"/>
      <family val="2"/>
    </font>
    <font>
      <b/>
      <sz val="12"/>
      <name val="Arial"/>
      <family val="2"/>
    </font>
    <font>
      <b/>
      <sz val="12"/>
      <color indexed="12"/>
      <name val="Arial"/>
      <family val="2"/>
    </font>
    <font>
      <sz val="8"/>
      <name val="Arial"/>
      <family val="2"/>
    </font>
    <font>
      <b/>
      <sz val="8"/>
      <name val="Arial"/>
      <family val="2"/>
    </font>
    <font>
      <b/>
      <sz val="9"/>
      <name val="Arial"/>
      <family val="2"/>
    </font>
    <font>
      <sz val="9"/>
      <name val="Arial"/>
      <family val="2"/>
    </font>
    <font>
      <b/>
      <sz val="10"/>
      <color indexed="12"/>
      <name val="Arial"/>
      <family val="2"/>
    </font>
    <font>
      <sz val="8"/>
      <color theme="1"/>
      <name val="Arial"/>
      <family val="2"/>
    </font>
    <font>
      <sz val="12"/>
      <color indexed="8"/>
      <name val="Verdana"/>
    </font>
    <font>
      <b/>
      <sz val="12"/>
      <color indexed="8"/>
      <name val="Verdana"/>
      <family val="2"/>
    </font>
    <font>
      <sz val="12"/>
      <color indexed="8"/>
      <name val="Verdana"/>
      <family val="2"/>
    </font>
    <font>
      <b/>
      <sz val="9"/>
      <color indexed="81"/>
      <name val="Tahoma"/>
      <family val="2"/>
    </font>
    <font>
      <sz val="9"/>
      <color indexed="81"/>
      <name val="Tahoma"/>
      <family val="2"/>
    </font>
    <font>
      <i/>
      <sz val="12"/>
      <color indexed="8"/>
      <name val="Verdana"/>
      <family val="2"/>
    </font>
    <font>
      <i/>
      <sz val="10"/>
      <name val="Arial"/>
      <family val="2"/>
    </font>
    <font>
      <sz val="12"/>
      <name val="Calibri"/>
      <family val="2"/>
      <scheme val="minor"/>
    </font>
    <font>
      <sz val="11"/>
      <color indexed="8"/>
      <name val="Arial"/>
      <family val="2"/>
    </font>
    <font>
      <sz val="11"/>
      <color theme="1"/>
      <name val="Arial"/>
      <family val="2"/>
    </font>
  </fonts>
  <fills count="13">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8"/>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4659260841701"/>
        <bgColor indexed="64"/>
      </patternFill>
    </fill>
  </fills>
  <borders count="87">
    <border>
      <left/>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diagonalUp="1" diagonalDown="1">
      <left style="thin">
        <color indexed="64"/>
      </left>
      <right style="medium">
        <color indexed="64"/>
      </right>
      <top/>
      <bottom/>
      <diagonal style="thin">
        <color indexed="64"/>
      </diagonal>
    </border>
    <border diagonalUp="1" diagonalDown="1">
      <left style="thin">
        <color indexed="64"/>
      </left>
      <right style="medium">
        <color indexed="64"/>
      </right>
      <top/>
      <bottom style="thin">
        <color indexed="64"/>
      </bottom>
      <diagonal style="thin">
        <color indexed="64"/>
      </diagonal>
    </border>
    <border diagonalUp="1" diagonalDown="1">
      <left style="medium">
        <color indexed="64"/>
      </left>
      <right style="thin">
        <color indexed="64"/>
      </right>
      <top style="thin">
        <color indexed="64"/>
      </top>
      <bottom/>
      <diagonal style="thin">
        <color indexed="64"/>
      </diagonal>
    </border>
    <border diagonalUp="1" diagonalDown="1">
      <left style="medium">
        <color indexed="64"/>
      </left>
      <right style="thin">
        <color indexed="64"/>
      </right>
      <top/>
      <bottom/>
      <diagonal style="thin">
        <color indexed="64"/>
      </diagonal>
    </border>
    <border diagonalUp="1" diagonalDown="1">
      <left style="medium">
        <color indexed="64"/>
      </left>
      <right style="thin">
        <color indexed="64"/>
      </right>
      <top/>
      <bottom style="medium">
        <color indexed="64"/>
      </bottom>
      <diagonal style="thin">
        <color indexed="64"/>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style="medium">
        <color indexed="64"/>
      </right>
      <top style="thin">
        <color indexed="64"/>
      </top>
      <bottom/>
      <diagonal/>
    </border>
    <border>
      <left/>
      <right/>
      <top style="medium">
        <color indexed="64"/>
      </top>
      <bottom style="thin">
        <color indexed="64"/>
      </bottom>
      <diagonal/>
    </border>
    <border>
      <left/>
      <right/>
      <top style="thin">
        <color indexed="64"/>
      </top>
      <bottom style="double">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thin">
        <color indexed="64"/>
      </top>
      <bottom/>
      <diagonal/>
    </border>
    <border>
      <left style="medium">
        <color indexed="64"/>
      </left>
      <right/>
      <top style="thin">
        <color auto="1"/>
      </top>
      <bottom/>
      <diagonal/>
    </border>
  </borders>
  <cellStyleXfs count="19">
    <xf numFmtId="0" fontId="0" fillId="0" borderId="0"/>
    <xf numFmtId="0" fontId="15" fillId="0" borderId="0" applyNumberFormat="0" applyFill="0" applyBorder="0" applyProtection="0">
      <alignment vertical="top" wrapText="1"/>
    </xf>
    <xf numFmtId="0" fontId="5" fillId="0" borderId="0">
      <protection locked="0"/>
    </xf>
    <xf numFmtId="0" fontId="17" fillId="0" borderId="0" applyNumberFormat="0" applyFill="0" applyBorder="0" applyProtection="0">
      <alignment vertical="top" wrapText="1"/>
    </xf>
    <xf numFmtId="0" fontId="5" fillId="0" borderId="0"/>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 fillId="0" borderId="0"/>
    <xf numFmtId="0" fontId="15"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xf numFmtId="0" fontId="17" fillId="0" borderId="0" applyNumberFormat="0" applyFill="0" applyBorder="0" applyProtection="0">
      <alignment vertical="top" wrapText="1"/>
    </xf>
  </cellStyleXfs>
  <cellXfs count="430">
    <xf numFmtId="0" fontId="0" fillId="0" borderId="0" xfId="0"/>
    <xf numFmtId="0" fontId="0" fillId="0" borderId="0" xfId="0" applyProtection="1"/>
    <xf numFmtId="14" fontId="0" fillId="0" borderId="0" xfId="0" applyNumberFormat="1" applyFill="1" applyAlignment="1" applyProtection="1">
      <alignment horizontal="center"/>
      <protection locked="0"/>
    </xf>
    <xf numFmtId="0" fontId="0" fillId="0" borderId="0" xfId="0" applyFill="1" applyProtection="1"/>
    <xf numFmtId="0" fontId="0" fillId="0" borderId="0" xfId="0" applyFill="1" applyAlignment="1" applyProtection="1">
      <alignment horizontal="left"/>
    </xf>
    <xf numFmtId="0" fontId="4" fillId="0" borderId="0" xfId="0" applyFont="1" applyFill="1" applyProtection="1"/>
    <xf numFmtId="0" fontId="6" fillId="0" borderId="0" xfId="0" applyFont="1" applyFill="1" applyProtection="1"/>
    <xf numFmtId="0" fontId="3" fillId="0" borderId="1" xfId="0" applyFont="1" applyFill="1" applyBorder="1" applyProtection="1"/>
    <xf numFmtId="0" fontId="3" fillId="0" borderId="2" xfId="0" applyFont="1" applyFill="1" applyBorder="1" applyProtection="1"/>
    <xf numFmtId="0" fontId="3" fillId="0" borderId="3" xfId="0" applyFont="1" applyFill="1" applyBorder="1" applyProtection="1"/>
    <xf numFmtId="0" fontId="7" fillId="0" borderId="4" xfId="0" applyFont="1" applyFill="1" applyBorder="1" applyAlignment="1" applyProtection="1">
      <alignment horizontal="center"/>
    </xf>
    <xf numFmtId="0" fontId="7" fillId="0" borderId="5" xfId="0" applyFont="1" applyFill="1" applyBorder="1" applyAlignment="1" applyProtection="1">
      <alignment horizontal="center"/>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3" fillId="0" borderId="7" xfId="0" applyFont="1" applyFill="1" applyBorder="1" applyProtection="1"/>
    <xf numFmtId="0" fontId="3" fillId="0" borderId="8" xfId="0" applyFont="1" applyFill="1" applyBorder="1" applyAlignment="1" applyProtection="1">
      <alignment horizontal="left"/>
    </xf>
    <xf numFmtId="0" fontId="7" fillId="0" borderId="9" xfId="0" applyFont="1" applyFill="1" applyBorder="1" applyAlignment="1" applyProtection="1">
      <alignment horizontal="center"/>
    </xf>
    <xf numFmtId="0" fontId="7" fillId="0" borderId="10" xfId="0" applyFont="1" applyFill="1" applyBorder="1" applyAlignment="1" applyProtection="1">
      <alignment horizontal="center"/>
    </xf>
    <xf numFmtId="0" fontId="7" fillId="0" borderId="11" xfId="0" applyFont="1" applyFill="1" applyBorder="1" applyAlignment="1" applyProtection="1">
      <alignment horizontal="center"/>
    </xf>
    <xf numFmtId="0" fontId="7" fillId="0" borderId="12" xfId="0" applyFont="1" applyFill="1" applyBorder="1" applyAlignment="1" applyProtection="1">
      <alignment horizontal="center"/>
    </xf>
    <xf numFmtId="0" fontId="7" fillId="0" borderId="13" xfId="0" applyFont="1" applyFill="1" applyBorder="1" applyAlignment="1" applyProtection="1">
      <alignment horizontal="center"/>
    </xf>
    <xf numFmtId="0" fontId="7" fillId="0" borderId="14" xfId="0" applyFont="1" applyFill="1" applyBorder="1" applyAlignment="1" applyProtection="1">
      <alignment horizontal="center"/>
    </xf>
    <xf numFmtId="0" fontId="3" fillId="0" borderId="8" xfId="0" applyFont="1" applyFill="1" applyBorder="1" applyProtection="1"/>
    <xf numFmtId="0" fontId="3" fillId="0" borderId="15" xfId="0" applyFont="1" applyFill="1" applyBorder="1" applyProtection="1"/>
    <xf numFmtId="0" fontId="0" fillId="0" borderId="0" xfId="0" applyFill="1" applyBorder="1" applyProtection="1"/>
    <xf numFmtId="0" fontId="7" fillId="0" borderId="0" xfId="0" applyFont="1" applyFill="1" applyBorder="1" applyProtection="1"/>
    <xf numFmtId="0" fontId="3" fillId="0" borderId="0" xfId="0" applyFont="1" applyFill="1" applyBorder="1" applyProtection="1"/>
    <xf numFmtId="0" fontId="7" fillId="0" borderId="8" xfId="0" applyFont="1" applyFill="1" applyBorder="1" applyProtection="1"/>
    <xf numFmtId="0" fontId="7" fillId="0" borderId="0" xfId="0" applyFont="1" applyProtection="1"/>
    <xf numFmtId="0" fontId="7" fillId="0" borderId="0" xfId="0" applyFont="1"/>
    <xf numFmtId="0" fontId="7" fillId="0" borderId="0" xfId="0" applyFont="1" applyAlignment="1">
      <alignment horizontal="left"/>
    </xf>
    <xf numFmtId="0" fontId="7" fillId="0" borderId="0" xfId="0" applyFont="1" applyAlignment="1">
      <alignment horizontal="right"/>
    </xf>
    <xf numFmtId="2" fontId="0" fillId="0" borderId="0" xfId="0" applyNumberFormat="1" applyProtection="1"/>
    <xf numFmtId="164" fontId="7" fillId="0" borderId="0" xfId="0" applyNumberFormat="1" applyFont="1"/>
    <xf numFmtId="0" fontId="3" fillId="0" borderId="0" xfId="0" applyFont="1" applyFill="1" applyProtection="1"/>
    <xf numFmtId="0" fontId="3" fillId="0" borderId="0" xfId="0" applyFont="1" applyFill="1" applyAlignment="1" applyProtection="1">
      <alignment horizontal="left"/>
    </xf>
    <xf numFmtId="0" fontId="0" fillId="0" borderId="0" xfId="0" applyFill="1" applyAlignment="1" applyProtection="1">
      <alignment horizontal="center"/>
    </xf>
    <xf numFmtId="0" fontId="3" fillId="0" borderId="16" xfId="0" applyFont="1" applyFill="1" applyBorder="1" applyProtection="1"/>
    <xf numFmtId="0" fontId="3" fillId="0" borderId="0" xfId="0" applyFont="1" applyFill="1" applyBorder="1" applyAlignment="1" applyProtection="1">
      <alignment horizontal="left"/>
    </xf>
    <xf numFmtId="0" fontId="3" fillId="0" borderId="17" xfId="0" applyFont="1" applyFill="1" applyBorder="1" applyProtection="1"/>
    <xf numFmtId="0" fontId="3" fillId="0" borderId="19" xfId="0" applyFont="1" applyFill="1" applyBorder="1" applyAlignment="1" applyProtection="1">
      <alignment vertical="center"/>
    </xf>
    <xf numFmtId="0" fontId="0" fillId="0" borderId="19" xfId="0" applyFill="1" applyBorder="1" applyAlignment="1" applyProtection="1">
      <alignment vertical="center"/>
    </xf>
    <xf numFmtId="0" fontId="6" fillId="0" borderId="0" xfId="0" applyFont="1" applyFill="1" applyAlignment="1" applyProtection="1">
      <alignment horizontal="center"/>
    </xf>
    <xf numFmtId="0" fontId="0" fillId="2" borderId="0" xfId="0" applyFill="1" applyBorder="1" applyAlignment="1">
      <alignment vertical="center"/>
    </xf>
    <xf numFmtId="0" fontId="0" fillId="2" borderId="0" xfId="0" applyFill="1" applyBorder="1" applyAlignment="1">
      <alignment horizontal="center" vertical="center"/>
    </xf>
    <xf numFmtId="0" fontId="5" fillId="3" borderId="21" xfId="0" applyFont="1" applyFill="1" applyBorder="1" applyAlignment="1">
      <alignment horizontal="left" vertical="center"/>
    </xf>
    <xf numFmtId="0" fontId="5" fillId="3" borderId="18" xfId="0" applyFont="1" applyFill="1" applyBorder="1" applyAlignment="1">
      <alignment horizontal="left" vertical="center"/>
    </xf>
    <xf numFmtId="0" fontId="5" fillId="3" borderId="22" xfId="0" applyFont="1" applyFill="1" applyBorder="1" applyAlignment="1">
      <alignment horizontal="left" vertical="center"/>
    </xf>
    <xf numFmtId="0" fontId="5" fillId="3" borderId="20" xfId="0" applyFont="1" applyFill="1" applyBorder="1" applyAlignment="1">
      <alignment horizontal="left" vertical="center"/>
    </xf>
    <xf numFmtId="0" fontId="5" fillId="3" borderId="11" xfId="0" applyFont="1" applyFill="1" applyBorder="1" applyAlignment="1">
      <alignment horizontal="left" vertical="center"/>
    </xf>
    <xf numFmtId="0" fontId="5" fillId="3" borderId="23" xfId="0" applyFont="1" applyFill="1" applyBorder="1" applyAlignment="1">
      <alignment horizontal="left" vertical="center"/>
    </xf>
    <xf numFmtId="0" fontId="0" fillId="2" borderId="0" xfId="0" applyFill="1" applyBorder="1" applyAlignment="1">
      <alignment vertical="center" wrapText="1"/>
    </xf>
    <xf numFmtId="0" fontId="2" fillId="3" borderId="18" xfId="0" applyFont="1" applyFill="1" applyBorder="1" applyAlignment="1">
      <alignment horizontal="left" vertical="center"/>
    </xf>
    <xf numFmtId="0" fontId="2" fillId="3" borderId="11" xfId="0" applyFont="1" applyFill="1" applyBorder="1" applyAlignment="1">
      <alignment horizontal="left" vertical="center"/>
    </xf>
    <xf numFmtId="0" fontId="2" fillId="3" borderId="23" xfId="0" applyFont="1" applyFill="1" applyBorder="1" applyAlignment="1">
      <alignment horizontal="left" vertical="center"/>
    </xf>
    <xf numFmtId="0" fontId="5" fillId="0" borderId="18" xfId="0" applyFont="1" applyFill="1" applyBorder="1" applyAlignment="1" applyProtection="1">
      <alignment vertical="center"/>
      <protection locked="0"/>
    </xf>
    <xf numFmtId="0" fontId="5" fillId="0" borderId="23" xfId="0" applyFont="1" applyFill="1" applyBorder="1" applyAlignment="1" applyProtection="1">
      <alignment vertical="center"/>
      <protection locked="0"/>
    </xf>
    <xf numFmtId="0" fontId="3" fillId="0" borderId="0" xfId="0" applyFont="1" applyFill="1" applyBorder="1" applyAlignment="1" applyProtection="1">
      <alignment horizontal="center" vertical="center"/>
    </xf>
    <xf numFmtId="0" fontId="3" fillId="0" borderId="31" xfId="0" applyFont="1" applyFill="1" applyBorder="1" applyAlignment="1" applyProtection="1">
      <alignment horizontal="center" vertical="center"/>
    </xf>
    <xf numFmtId="2" fontId="0" fillId="0" borderId="0" xfId="0" applyNumberFormat="1" applyAlignment="1" applyProtection="1">
      <alignment horizontal="left"/>
    </xf>
    <xf numFmtId="1" fontId="7" fillId="0" borderId="0" xfId="0" applyNumberFormat="1" applyFont="1" applyAlignment="1">
      <alignment horizontal="left"/>
    </xf>
    <xf numFmtId="0" fontId="5" fillId="0" borderId="0" xfId="0" applyFont="1" applyFill="1" applyProtection="1"/>
    <xf numFmtId="0" fontId="5" fillId="0" borderId="0" xfId="0" applyFont="1" applyFill="1" applyAlignment="1" applyProtection="1">
      <alignment horizontal="left"/>
    </xf>
    <xf numFmtId="0" fontId="10" fillId="0" borderId="0" xfId="0" applyFont="1"/>
    <xf numFmtId="2" fontId="10" fillId="0" borderId="0" xfId="0" applyNumberFormat="1" applyFont="1" applyAlignment="1">
      <alignment horizontal="left"/>
    </xf>
    <xf numFmtId="0" fontId="10" fillId="0" borderId="0" xfId="0" applyFont="1" applyProtection="1"/>
    <xf numFmtId="0" fontId="10" fillId="0" borderId="0" xfId="0" applyFont="1" applyAlignment="1" applyProtection="1">
      <alignment horizontal="left"/>
    </xf>
    <xf numFmtId="0" fontId="11" fillId="0" borderId="0" xfId="0" applyFont="1"/>
    <xf numFmtId="0" fontId="11" fillId="0" borderId="0" xfId="0" applyFont="1" applyProtection="1"/>
    <xf numFmtId="0" fontId="12" fillId="0" borderId="0" xfId="0" applyFont="1" applyProtection="1"/>
    <xf numFmtId="0" fontId="10" fillId="0" borderId="0" xfId="0" applyFont="1" applyAlignment="1">
      <alignment horizontal="left"/>
    </xf>
    <xf numFmtId="1" fontId="10" fillId="0" borderId="0" xfId="0" applyNumberFormat="1" applyFont="1" applyAlignment="1">
      <alignment horizontal="left"/>
    </xf>
    <xf numFmtId="0" fontId="3" fillId="2" borderId="0" xfId="0" applyFont="1" applyFill="1" applyBorder="1" applyAlignment="1">
      <alignment vertical="center"/>
    </xf>
    <xf numFmtId="0" fontId="3" fillId="2" borderId="0" xfId="0" applyFont="1" applyFill="1" applyBorder="1" applyAlignment="1">
      <alignment horizontal="center" vertical="center"/>
    </xf>
    <xf numFmtId="0" fontId="3" fillId="2" borderId="0" xfId="0" applyFont="1" applyFill="1" applyBorder="1" applyAlignment="1">
      <alignment horizontal="left" vertical="center"/>
    </xf>
    <xf numFmtId="0" fontId="3" fillId="2" borderId="0" xfId="0" applyFont="1" applyFill="1" applyBorder="1" applyAlignment="1">
      <alignment vertical="center" wrapText="1"/>
    </xf>
    <xf numFmtId="0" fontId="7" fillId="3" borderId="24" xfId="0" applyFont="1" applyFill="1" applyBorder="1" applyAlignment="1">
      <alignment horizontal="center" vertical="center" wrapText="1"/>
    </xf>
    <xf numFmtId="0" fontId="7" fillId="3" borderId="25" xfId="0" applyFont="1" applyFill="1" applyBorder="1" applyAlignment="1">
      <alignment vertical="center" wrapText="1"/>
    </xf>
    <xf numFmtId="0" fontId="7" fillId="3" borderId="26" xfId="0" applyFont="1" applyFill="1" applyBorder="1" applyAlignment="1">
      <alignment vertical="center" wrapText="1"/>
    </xf>
    <xf numFmtId="0" fontId="7" fillId="4" borderId="25" xfId="0" applyFont="1" applyFill="1" applyBorder="1" applyAlignment="1">
      <alignment vertical="center" wrapText="1"/>
    </xf>
    <xf numFmtId="0" fontId="7" fillId="3" borderId="25" xfId="0" applyFont="1" applyFill="1" applyBorder="1" applyAlignment="1">
      <alignment horizontal="left" vertical="center" wrapText="1"/>
    </xf>
    <xf numFmtId="0" fontId="7" fillId="3" borderId="32" xfId="0" applyFont="1" applyFill="1" applyBorder="1" applyAlignment="1">
      <alignment vertical="center" wrapText="1"/>
    </xf>
    <xf numFmtId="0" fontId="3" fillId="3" borderId="21" xfId="0" applyFont="1" applyFill="1" applyBorder="1" applyAlignment="1">
      <alignment horizontal="left" vertical="center"/>
    </xf>
    <xf numFmtId="0" fontId="3" fillId="4" borderId="18" xfId="0" applyFont="1" applyFill="1" applyBorder="1" applyAlignment="1">
      <alignment vertical="center"/>
    </xf>
    <xf numFmtId="0" fontId="3" fillId="3" borderId="18" xfId="0" applyFont="1" applyFill="1" applyBorder="1" applyAlignment="1">
      <alignment horizontal="left" vertical="center"/>
    </xf>
    <xf numFmtId="0" fontId="3" fillId="3" borderId="22" xfId="0" applyFont="1" applyFill="1" applyBorder="1" applyAlignment="1">
      <alignment horizontal="left" vertical="center"/>
    </xf>
    <xf numFmtId="0" fontId="3" fillId="4" borderId="23" xfId="0" applyFont="1" applyFill="1" applyBorder="1" applyAlignment="1">
      <alignment vertical="center"/>
    </xf>
    <xf numFmtId="0" fontId="3" fillId="3" borderId="23" xfId="0" applyFont="1" applyFill="1" applyBorder="1" applyAlignment="1">
      <alignment horizontal="left" vertical="center"/>
    </xf>
    <xf numFmtId="0" fontId="3" fillId="3" borderId="20" xfId="0" applyFont="1" applyFill="1" applyBorder="1" applyAlignment="1">
      <alignment horizontal="left" vertical="center"/>
    </xf>
    <xf numFmtId="0" fontId="3" fillId="4" borderId="11" xfId="0" applyFont="1" applyFill="1" applyBorder="1" applyAlignment="1">
      <alignment vertical="center"/>
    </xf>
    <xf numFmtId="0" fontId="3" fillId="3" borderId="11" xfId="0" applyFont="1" applyFill="1" applyBorder="1" applyAlignment="1">
      <alignment horizontal="left" vertical="center"/>
    </xf>
    <xf numFmtId="0" fontId="5" fillId="0" borderId="0" xfId="0" applyFont="1" applyProtection="1"/>
    <xf numFmtId="0" fontId="9" fillId="0" borderId="23" xfId="0" applyFont="1" applyBorder="1" applyProtection="1"/>
    <xf numFmtId="0" fontId="9" fillId="0" borderId="25" xfId="0" applyFont="1" applyBorder="1" applyProtection="1"/>
    <xf numFmtId="0" fontId="9" fillId="0" borderId="18" xfId="0" applyFont="1" applyBorder="1" applyProtection="1"/>
    <xf numFmtId="0" fontId="7" fillId="3" borderId="33" xfId="0" applyFont="1" applyFill="1" applyBorder="1" applyAlignment="1">
      <alignment vertical="center" wrapText="1"/>
    </xf>
    <xf numFmtId="0" fontId="5" fillId="4" borderId="18" xfId="0" applyFont="1" applyFill="1" applyBorder="1" applyAlignment="1">
      <alignment vertical="center"/>
    </xf>
    <xf numFmtId="0" fontId="5" fillId="4" borderId="23" xfId="0" applyFont="1" applyFill="1" applyBorder="1" applyAlignment="1">
      <alignment vertical="center"/>
    </xf>
    <xf numFmtId="0" fontId="5" fillId="4" borderId="11" xfId="0" applyFont="1" applyFill="1" applyBorder="1" applyAlignment="1">
      <alignment vertical="center"/>
    </xf>
    <xf numFmtId="0" fontId="9" fillId="0" borderId="11" xfId="0" applyFont="1" applyBorder="1" applyProtection="1"/>
    <xf numFmtId="0" fontId="10" fillId="0" borderId="37" xfId="0" applyFont="1" applyFill="1" applyBorder="1" applyAlignment="1" applyProtection="1">
      <alignment horizontal="center"/>
    </xf>
    <xf numFmtId="0" fontId="10" fillId="0" borderId="38" xfId="0" applyFont="1" applyFill="1" applyBorder="1" applyAlignment="1" applyProtection="1">
      <alignment horizontal="center"/>
    </xf>
    <xf numFmtId="0" fontId="10" fillId="0" borderId="4" xfId="0" applyFont="1" applyFill="1" applyBorder="1" applyAlignment="1" applyProtection="1">
      <alignment horizontal="center"/>
    </xf>
    <xf numFmtId="0" fontId="10" fillId="0" borderId="11" xfId="0" applyFont="1" applyFill="1" applyBorder="1" applyAlignment="1" applyProtection="1">
      <alignment horizontal="center"/>
    </xf>
    <xf numFmtId="2" fontId="9" fillId="0" borderId="24" xfId="0" applyNumberFormat="1" applyFont="1" applyFill="1" applyBorder="1" applyProtection="1">
      <protection locked="0"/>
    </xf>
    <xf numFmtId="0" fontId="9" fillId="0" borderId="40" xfId="0" applyFont="1" applyFill="1" applyBorder="1" applyProtection="1"/>
    <xf numFmtId="0" fontId="9" fillId="0" borderId="40" xfId="0" applyFont="1" applyFill="1" applyBorder="1" applyAlignment="1" applyProtection="1">
      <alignment horizontal="center"/>
    </xf>
    <xf numFmtId="0" fontId="10" fillId="0" borderId="9" xfId="0" applyFont="1" applyFill="1" applyBorder="1" applyAlignment="1" applyProtection="1">
      <alignment horizontal="center"/>
    </xf>
    <xf numFmtId="0" fontId="10" fillId="0" borderId="18" xfId="0" applyFont="1" applyFill="1" applyBorder="1" applyAlignment="1" applyProtection="1">
      <alignment horizontal="center"/>
    </xf>
    <xf numFmtId="2" fontId="9" fillId="0" borderId="21" xfId="0" applyNumberFormat="1" applyFont="1" applyFill="1" applyBorder="1" applyProtection="1">
      <protection locked="0"/>
    </xf>
    <xf numFmtId="0" fontId="9" fillId="0" borderId="41" xfId="0" applyFont="1" applyFill="1" applyBorder="1" applyAlignment="1" applyProtection="1">
      <alignment horizontal="center"/>
    </xf>
    <xf numFmtId="0" fontId="9" fillId="0" borderId="42" xfId="0" applyFont="1" applyFill="1" applyBorder="1" applyAlignment="1" applyProtection="1">
      <alignment horizontal="center"/>
    </xf>
    <xf numFmtId="0" fontId="10" fillId="0" borderId="6" xfId="0" applyFont="1" applyFill="1" applyBorder="1" applyAlignment="1" applyProtection="1">
      <alignment horizontal="center"/>
    </xf>
    <xf numFmtId="0" fontId="10" fillId="0" borderId="23" xfId="0" applyFont="1" applyFill="1" applyBorder="1" applyAlignment="1" applyProtection="1">
      <alignment horizontal="center"/>
    </xf>
    <xf numFmtId="2" fontId="9" fillId="0" borderId="22" xfId="0" applyNumberFormat="1" applyFont="1" applyFill="1" applyBorder="1" applyProtection="1">
      <protection locked="0"/>
    </xf>
    <xf numFmtId="0" fontId="10" fillId="0" borderId="16" xfId="0" applyFont="1" applyFill="1" applyBorder="1" applyAlignment="1" applyProtection="1">
      <alignment horizontal="center"/>
    </xf>
    <xf numFmtId="2" fontId="9" fillId="0" borderId="20" xfId="0" applyNumberFormat="1" applyFont="1" applyFill="1" applyBorder="1" applyProtection="1">
      <protection locked="0"/>
    </xf>
    <xf numFmtId="0" fontId="10" fillId="0" borderId="17" xfId="0" applyFont="1" applyFill="1" applyBorder="1" applyAlignment="1" applyProtection="1">
      <alignment horizontal="center"/>
    </xf>
    <xf numFmtId="0" fontId="9" fillId="0" borderId="16" xfId="0" applyFont="1" applyFill="1" applyBorder="1" applyProtection="1"/>
    <xf numFmtId="0" fontId="9" fillId="0" borderId="0" xfId="0" applyFont="1" applyFill="1" applyBorder="1" applyProtection="1"/>
    <xf numFmtId="0" fontId="9" fillId="0" borderId="0" xfId="0" applyFont="1" applyFill="1" applyBorder="1" applyAlignment="1" applyProtection="1">
      <alignment horizontal="left"/>
    </xf>
    <xf numFmtId="0" fontId="9" fillId="0" borderId="30" xfId="0" applyFont="1" applyFill="1" applyBorder="1" applyProtection="1"/>
    <xf numFmtId="0" fontId="9" fillId="0" borderId="4" xfId="0" applyFont="1" applyFill="1" applyBorder="1" applyProtection="1"/>
    <xf numFmtId="0" fontId="9" fillId="0" borderId="21" xfId="0" applyFont="1" applyFill="1" applyBorder="1" applyProtection="1"/>
    <xf numFmtId="0" fontId="9" fillId="0" borderId="43" xfId="0" applyFont="1" applyFill="1" applyBorder="1" applyProtection="1"/>
    <xf numFmtId="0" fontId="9" fillId="0" borderId="17" xfId="0" applyFont="1" applyFill="1" applyBorder="1" applyProtection="1"/>
    <xf numFmtId="0" fontId="9" fillId="0" borderId="8" xfId="0" applyFont="1" applyFill="1" applyBorder="1" applyProtection="1"/>
    <xf numFmtId="0" fontId="9" fillId="0" borderId="8" xfId="0" applyFont="1" applyFill="1" applyBorder="1" applyAlignment="1" applyProtection="1">
      <alignment horizontal="left"/>
    </xf>
    <xf numFmtId="0" fontId="9" fillId="0" borderId="6" xfId="0" applyFont="1" applyFill="1" applyBorder="1" applyProtection="1"/>
    <xf numFmtId="0" fontId="9" fillId="0" borderId="25" xfId="0" applyFont="1" applyBorder="1" applyAlignment="1" applyProtection="1"/>
    <xf numFmtId="0" fontId="9" fillId="0" borderId="11" xfId="0" applyFont="1" applyBorder="1" applyAlignment="1" applyProtection="1"/>
    <xf numFmtId="0" fontId="9" fillId="0" borderId="18" xfId="0" applyFont="1" applyBorder="1" applyAlignment="1" applyProtection="1"/>
    <xf numFmtId="0" fontId="9" fillId="0" borderId="23" xfId="0" applyFont="1" applyBorder="1" applyAlignment="1" applyProtection="1"/>
    <xf numFmtId="0" fontId="9" fillId="0" borderId="44" xfId="0" applyFont="1" applyFill="1" applyBorder="1" applyProtection="1"/>
    <xf numFmtId="0" fontId="9" fillId="0" borderId="42" xfId="0" applyFont="1" applyFill="1" applyBorder="1" applyProtection="1"/>
    <xf numFmtId="0" fontId="3" fillId="0" borderId="31" xfId="0" applyFont="1" applyFill="1" applyBorder="1" applyProtection="1"/>
    <xf numFmtId="0" fontId="3" fillId="0" borderId="43" xfId="0" applyFont="1" applyFill="1" applyBorder="1" applyProtection="1"/>
    <xf numFmtId="0" fontId="3" fillId="0" borderId="45" xfId="0" applyFont="1" applyFill="1" applyBorder="1" applyProtection="1"/>
    <xf numFmtId="0" fontId="3" fillId="0" borderId="46" xfId="0" applyFont="1" applyFill="1" applyBorder="1" applyProtection="1"/>
    <xf numFmtId="0" fontId="3" fillId="0" borderId="44" xfId="0" applyFont="1" applyFill="1" applyBorder="1" applyProtection="1"/>
    <xf numFmtId="0" fontId="3" fillId="0" borderId="47" xfId="0" applyFont="1" applyFill="1" applyBorder="1" applyProtection="1"/>
    <xf numFmtId="0" fontId="5" fillId="0" borderId="0" xfId="0" applyFont="1" applyAlignment="1" applyProtection="1">
      <alignment horizontal="left"/>
    </xf>
    <xf numFmtId="0" fontId="10" fillId="0" borderId="0" xfId="0" applyFont="1" applyAlignment="1"/>
    <xf numFmtId="0" fontId="10" fillId="0" borderId="0" xfId="0" applyFont="1" applyAlignment="1" applyProtection="1"/>
    <xf numFmtId="0" fontId="7" fillId="0" borderId="0" xfId="0" applyFont="1" applyAlignment="1"/>
    <xf numFmtId="0" fontId="0" fillId="0" borderId="0" xfId="0" applyAlignment="1" applyProtection="1"/>
    <xf numFmtId="2" fontId="10" fillId="0" borderId="0" xfId="0" applyNumberFormat="1" applyFont="1" applyAlignment="1"/>
    <xf numFmtId="2" fontId="7" fillId="0" borderId="0" xfId="0" applyNumberFormat="1" applyFont="1" applyAlignment="1"/>
    <xf numFmtId="2" fontId="0" fillId="0" borderId="0" xfId="0" applyNumberFormat="1" applyAlignment="1" applyProtection="1"/>
    <xf numFmtId="0" fontId="5" fillId="5" borderId="18" xfId="0" applyFont="1" applyFill="1" applyBorder="1"/>
    <xf numFmtId="0" fontId="5" fillId="0" borderId="25" xfId="0" applyFont="1" applyFill="1" applyBorder="1" applyAlignment="1" applyProtection="1">
      <alignment vertical="center"/>
      <protection locked="0"/>
    </xf>
    <xf numFmtId="0" fontId="5" fillId="6" borderId="18" xfId="0" applyFont="1" applyFill="1" applyBorder="1"/>
    <xf numFmtId="0" fontId="9" fillId="0" borderId="40" xfId="0" applyFont="1" applyFill="1" applyBorder="1" applyAlignment="1" applyProtection="1">
      <alignment horizontal="center"/>
    </xf>
    <xf numFmtId="0" fontId="9" fillId="0" borderId="41" xfId="0" applyFont="1" applyFill="1" applyBorder="1" applyAlignment="1" applyProtection="1">
      <alignment horizontal="center"/>
    </xf>
    <xf numFmtId="0" fontId="9" fillId="0" borderId="42" xfId="0" applyFont="1" applyFill="1" applyBorder="1" applyAlignment="1" applyProtection="1">
      <alignment horizontal="center"/>
    </xf>
    <xf numFmtId="0" fontId="5" fillId="3" borderId="18" xfId="0" applyFont="1" applyFill="1" applyBorder="1" applyAlignment="1">
      <alignment horizontal="left" vertical="center"/>
    </xf>
    <xf numFmtId="0" fontId="5" fillId="3" borderId="23" xfId="0" applyFont="1" applyFill="1" applyBorder="1" applyAlignment="1">
      <alignment horizontal="left" vertical="center"/>
    </xf>
    <xf numFmtId="0" fontId="5" fillId="3" borderId="11" xfId="0" applyFont="1" applyFill="1" applyBorder="1" applyAlignment="1">
      <alignment horizontal="left" vertical="center"/>
    </xf>
    <xf numFmtId="0" fontId="16" fillId="0" borderId="0" xfId="1" applyFont="1" applyAlignment="1">
      <alignment vertical="top"/>
    </xf>
    <xf numFmtId="0" fontId="15" fillId="0" borderId="0" xfId="1" applyFont="1" applyAlignment="1">
      <alignment vertical="top" wrapText="1"/>
    </xf>
    <xf numFmtId="0" fontId="15" fillId="5" borderId="18" xfId="1" applyFont="1" applyFill="1" applyBorder="1" applyAlignment="1">
      <alignment vertical="top"/>
    </xf>
    <xf numFmtId="0" fontId="17" fillId="0" borderId="18" xfId="1" applyFont="1" applyBorder="1" applyAlignment="1">
      <alignment vertical="top" wrapText="1"/>
    </xf>
    <xf numFmtId="0" fontId="17" fillId="0" borderId="18" xfId="1" applyFont="1" applyBorder="1" applyAlignment="1">
      <alignment vertical="top"/>
    </xf>
    <xf numFmtId="0" fontId="17" fillId="8" borderId="18" xfId="1" applyFont="1" applyFill="1" applyBorder="1" applyAlignment="1">
      <alignment vertical="top"/>
    </xf>
    <xf numFmtId="0" fontId="15" fillId="7" borderId="18" xfId="1" applyFont="1" applyFill="1" applyBorder="1" applyAlignment="1">
      <alignment vertical="top"/>
    </xf>
    <xf numFmtId="0" fontId="15" fillId="0" borderId="0" xfId="1" applyFont="1" applyAlignment="1">
      <alignment vertical="top"/>
    </xf>
    <xf numFmtId="2" fontId="9" fillId="0" borderId="21" xfId="0" applyNumberFormat="1" applyFont="1" applyFill="1" applyBorder="1" applyProtection="1"/>
    <xf numFmtId="2" fontId="9" fillId="0" borderId="22" xfId="0" applyNumberFormat="1" applyFont="1" applyFill="1" applyBorder="1" applyProtection="1"/>
    <xf numFmtId="2" fontId="9" fillId="0" borderId="24" xfId="0" applyNumberFormat="1" applyFont="1" applyFill="1" applyBorder="1" applyProtection="1"/>
    <xf numFmtId="2" fontId="9" fillId="0" borderId="30" xfId="0" applyNumberFormat="1" applyFont="1" applyFill="1" applyBorder="1" applyProtection="1">
      <protection locked="0"/>
    </xf>
    <xf numFmtId="0" fontId="9" fillId="0" borderId="67" xfId="0" applyFont="1" applyFill="1" applyBorder="1" applyProtection="1"/>
    <xf numFmtId="2" fontId="9" fillId="0" borderId="32" xfId="0" applyNumberFormat="1" applyFont="1" applyBorder="1" applyAlignment="1" applyProtection="1"/>
    <xf numFmtId="2" fontId="9" fillId="0" borderId="1" xfId="0" applyNumberFormat="1" applyFont="1" applyBorder="1" applyAlignment="1" applyProtection="1"/>
    <xf numFmtId="2" fontId="9" fillId="0" borderId="2" xfId="0" applyNumberFormat="1" applyFont="1" applyBorder="1" applyAlignment="1" applyProtection="1"/>
    <xf numFmtId="2" fontId="9" fillId="0" borderId="3" xfId="0" applyNumberFormat="1" applyFont="1" applyBorder="1" applyAlignment="1" applyProtection="1"/>
    <xf numFmtId="2" fontId="9" fillId="0" borderId="25" xfId="0" applyNumberFormat="1" applyFont="1" applyBorder="1" applyAlignment="1" applyProtection="1"/>
    <xf numFmtId="0" fontId="3" fillId="11" borderId="0" xfId="0" applyFont="1" applyFill="1" applyBorder="1" applyAlignment="1">
      <alignment vertical="center"/>
    </xf>
    <xf numFmtId="0" fontId="3" fillId="11" borderId="0" xfId="0" applyFont="1" applyFill="1" applyBorder="1" applyAlignment="1">
      <alignment horizontal="center" vertical="center"/>
    </xf>
    <xf numFmtId="0" fontId="3" fillId="11" borderId="0" xfId="0" applyFont="1" applyFill="1" applyBorder="1" applyAlignment="1">
      <alignment horizontal="left" vertical="center"/>
    </xf>
    <xf numFmtId="0" fontId="5" fillId="11" borderId="73" xfId="0" applyFont="1" applyFill="1" applyBorder="1" applyAlignment="1">
      <alignment vertical="center"/>
    </xf>
    <xf numFmtId="0" fontId="7" fillId="9" borderId="71" xfId="0" applyFont="1" applyFill="1" applyBorder="1" applyAlignment="1">
      <alignment horizontal="center" vertical="center" wrapText="1"/>
    </xf>
    <xf numFmtId="0" fontId="5" fillId="11" borderId="42" xfId="0" applyFont="1" applyFill="1" applyBorder="1" applyAlignment="1">
      <alignment vertical="center"/>
    </xf>
    <xf numFmtId="0" fontId="7" fillId="9" borderId="66" xfId="0" applyFont="1" applyFill="1" applyBorder="1" applyAlignment="1">
      <alignment horizontal="center" vertical="center" wrapText="1"/>
    </xf>
    <xf numFmtId="0" fontId="7" fillId="9" borderId="5" xfId="0" applyFont="1" applyFill="1" applyBorder="1" applyAlignment="1">
      <alignment horizontal="center" vertical="center" wrapText="1"/>
    </xf>
    <xf numFmtId="0" fontId="5" fillId="2" borderId="44" xfId="0" applyFont="1" applyFill="1" applyBorder="1" applyAlignment="1">
      <alignment vertical="center"/>
    </xf>
    <xf numFmtId="0" fontId="7" fillId="9" borderId="40" xfId="0" applyFont="1" applyFill="1" applyBorder="1" applyAlignment="1">
      <alignment horizontal="center" vertical="center" wrapText="1"/>
    </xf>
    <xf numFmtId="0" fontId="7" fillId="9" borderId="40" xfId="0" applyFont="1" applyFill="1" applyBorder="1" applyAlignment="1">
      <alignment vertical="center" wrapText="1"/>
    </xf>
    <xf numFmtId="0" fontId="7" fillId="9" borderId="40" xfId="0" applyFont="1" applyFill="1" applyBorder="1" applyAlignment="1">
      <alignment horizontal="left" vertical="center" wrapText="1"/>
    </xf>
    <xf numFmtId="0" fontId="5" fillId="2" borderId="46" xfId="0" applyFont="1" applyFill="1" applyBorder="1" applyAlignment="1">
      <alignment vertical="center"/>
    </xf>
    <xf numFmtId="0" fontId="5" fillId="9" borderId="46" xfId="0" applyFont="1" applyFill="1" applyBorder="1" applyAlignment="1">
      <alignment horizontal="left" vertical="center"/>
    </xf>
    <xf numFmtId="0" fontId="5" fillId="0" borderId="46" xfId="0" applyFont="1" applyFill="1" applyBorder="1" applyAlignment="1">
      <alignment vertical="center"/>
    </xf>
    <xf numFmtId="0" fontId="2" fillId="9" borderId="46" xfId="0" applyFont="1" applyFill="1" applyBorder="1" applyAlignment="1">
      <alignment horizontal="left" vertical="center"/>
    </xf>
    <xf numFmtId="0" fontId="5" fillId="0" borderId="46" xfId="0" applyFont="1" applyBorder="1"/>
    <xf numFmtId="0" fontId="5" fillId="9" borderId="44" xfId="0" applyFont="1" applyFill="1" applyBorder="1" applyAlignment="1">
      <alignment horizontal="left" vertical="center"/>
    </xf>
    <xf numFmtId="0" fontId="5" fillId="0" borderId="44" xfId="0" applyFont="1" applyFill="1" applyBorder="1" applyAlignment="1">
      <alignment vertical="center"/>
    </xf>
    <xf numFmtId="0" fontId="2" fillId="9" borderId="44" xfId="0" applyFont="1" applyFill="1" applyBorder="1" applyAlignment="1">
      <alignment horizontal="left" vertical="center"/>
    </xf>
    <xf numFmtId="0" fontId="5" fillId="0" borderId="44" xfId="0" applyFont="1" applyBorder="1"/>
    <xf numFmtId="0" fontId="5" fillId="9" borderId="47" xfId="0" applyFont="1" applyFill="1" applyBorder="1" applyAlignment="1">
      <alignment horizontal="left" vertical="center"/>
    </xf>
    <xf numFmtId="0" fontId="5" fillId="0" borderId="47" xfId="0" applyFont="1" applyFill="1" applyBorder="1" applyAlignment="1" applyProtection="1">
      <alignment vertical="center"/>
      <protection locked="0"/>
    </xf>
    <xf numFmtId="0" fontId="5" fillId="0" borderId="47" xfId="0" applyFont="1" applyFill="1" applyBorder="1" applyAlignment="1">
      <alignment vertical="center"/>
    </xf>
    <xf numFmtId="0" fontId="2" fillId="9" borderId="47" xfId="0" applyFont="1" applyFill="1" applyBorder="1" applyAlignment="1">
      <alignment horizontal="left" vertical="center"/>
    </xf>
    <xf numFmtId="0" fontId="5" fillId="0" borderId="47" xfId="0" applyFont="1" applyBorder="1"/>
    <xf numFmtId="0" fontId="5" fillId="0" borderId="18" xfId="0" applyFont="1" applyFill="1" applyBorder="1"/>
    <xf numFmtId="0" fontId="7" fillId="0" borderId="77" xfId="0" applyFont="1" applyFill="1" applyBorder="1" applyAlignment="1" applyProtection="1">
      <alignment horizontal="center"/>
    </xf>
    <xf numFmtId="0" fontId="7" fillId="0" borderId="40" xfId="0" applyFont="1" applyFill="1" applyBorder="1" applyAlignment="1" applyProtection="1">
      <alignment horizontal="center"/>
    </xf>
    <xf numFmtId="0" fontId="3" fillId="0" borderId="42" xfId="0" applyFont="1" applyFill="1" applyBorder="1" applyProtection="1"/>
    <xf numFmtId="0" fontId="10" fillId="0" borderId="73" xfId="0" applyFont="1" applyFill="1" applyBorder="1" applyAlignment="1" applyProtection="1">
      <alignment horizontal="center"/>
    </xf>
    <xf numFmtId="0" fontId="9" fillId="0" borderId="46" xfId="0" applyFont="1" applyFill="1" applyBorder="1" applyProtection="1">
      <protection locked="0"/>
    </xf>
    <xf numFmtId="0" fontId="9" fillId="0" borderId="44" xfId="0" applyFont="1" applyFill="1" applyBorder="1" applyProtection="1">
      <protection locked="0"/>
    </xf>
    <xf numFmtId="0" fontId="9" fillId="0" borderId="47" xfId="0" applyFont="1" applyFill="1" applyBorder="1" applyProtection="1">
      <protection locked="0"/>
    </xf>
    <xf numFmtId="0" fontId="9" fillId="0" borderId="72" xfId="0" applyFont="1" applyFill="1" applyBorder="1" applyProtection="1">
      <protection locked="0"/>
    </xf>
    <xf numFmtId="2" fontId="9" fillId="0" borderId="26" xfId="0" applyNumberFormat="1" applyFont="1" applyFill="1" applyBorder="1" applyProtection="1">
      <protection locked="0"/>
    </xf>
    <xf numFmtId="2" fontId="9" fillId="0" borderId="34" xfId="0" applyNumberFormat="1" applyFont="1" applyFill="1" applyBorder="1" applyProtection="1">
      <protection locked="0"/>
    </xf>
    <xf numFmtId="2" fontId="9" fillId="0" borderId="54" xfId="0" applyNumberFormat="1" applyFont="1" applyFill="1" applyBorder="1" applyProtection="1">
      <protection locked="0"/>
    </xf>
    <xf numFmtId="2" fontId="9" fillId="0" borderId="76" xfId="0" applyNumberFormat="1" applyFont="1" applyFill="1" applyBorder="1" applyProtection="1">
      <protection locked="0"/>
    </xf>
    <xf numFmtId="0" fontId="10" fillId="0" borderId="50" xfId="0" applyFont="1" applyFill="1" applyBorder="1" applyAlignment="1" applyProtection="1">
      <alignment horizontal="center"/>
    </xf>
    <xf numFmtId="0" fontId="5" fillId="0" borderId="72" xfId="0" applyFont="1" applyFill="1" applyBorder="1" applyAlignment="1">
      <alignment vertical="center"/>
    </xf>
    <xf numFmtId="0" fontId="5" fillId="0" borderId="11" xfId="0" applyFont="1" applyFill="1" applyBorder="1"/>
    <xf numFmtId="0" fontId="5" fillId="0" borderId="23" xfId="0" applyFont="1" applyFill="1" applyBorder="1"/>
    <xf numFmtId="0" fontId="5" fillId="6" borderId="48" xfId="0" applyFont="1" applyFill="1" applyBorder="1"/>
    <xf numFmtId="0" fontId="5" fillId="6" borderId="23" xfId="0" applyFont="1" applyFill="1" applyBorder="1"/>
    <xf numFmtId="0" fontId="5" fillId="5" borderId="23" xfId="0" applyFont="1" applyFill="1" applyBorder="1"/>
    <xf numFmtId="0" fontId="21" fillId="0" borderId="18" xfId="0" applyFont="1" applyFill="1" applyBorder="1"/>
    <xf numFmtId="0" fontId="21" fillId="5" borderId="18" xfId="0" applyFont="1" applyFill="1" applyBorder="1"/>
    <xf numFmtId="0" fontId="21" fillId="6" borderId="18" xfId="0" applyFont="1" applyFill="1" applyBorder="1"/>
    <xf numFmtId="0" fontId="21" fillId="6" borderId="23" xfId="0" applyFont="1" applyFill="1" applyBorder="1"/>
    <xf numFmtId="0" fontId="21" fillId="6" borderId="48" xfId="0" applyFont="1" applyFill="1" applyBorder="1"/>
    <xf numFmtId="0" fontId="21" fillId="5" borderId="23" xfId="0" applyFont="1" applyFill="1" applyBorder="1"/>
    <xf numFmtId="0" fontId="7" fillId="0" borderId="77" xfId="0" applyFont="1" applyFill="1" applyBorder="1" applyAlignment="1" applyProtection="1">
      <alignment horizontal="center"/>
    </xf>
    <xf numFmtId="0" fontId="5" fillId="0" borderId="0" xfId="0" applyFont="1" applyFill="1" applyProtection="1"/>
    <xf numFmtId="0" fontId="24" fillId="0" borderId="46" xfId="11" applyFont="1" applyFill="1" applyBorder="1"/>
    <xf numFmtId="0" fontId="23" fillId="0" borderId="46" xfId="8" applyNumberFormat="1" applyFont="1" applyFill="1" applyBorder="1" applyAlignment="1" applyProtection="1">
      <alignment vertical="center"/>
      <protection locked="0"/>
    </xf>
    <xf numFmtId="0" fontId="24" fillId="0" borderId="44" xfId="11" applyFont="1" applyFill="1" applyBorder="1"/>
    <xf numFmtId="0" fontId="24" fillId="0" borderId="83" xfId="11" applyFont="1" applyFill="1" applyBorder="1"/>
    <xf numFmtId="0" fontId="24" fillId="0" borderId="47" xfId="11" applyFont="1" applyFill="1" applyBorder="1"/>
    <xf numFmtId="0" fontId="24" fillId="0" borderId="82" xfId="11" applyFont="1" applyFill="1" applyBorder="1"/>
    <xf numFmtId="0" fontId="24" fillId="0" borderId="35" xfId="11" applyFont="1" applyFill="1" applyBorder="1"/>
    <xf numFmtId="0" fontId="23" fillId="0" borderId="44" xfId="8" applyNumberFormat="1" applyFont="1" applyFill="1" applyBorder="1" applyAlignment="1" applyProtection="1">
      <alignment vertical="center"/>
      <protection locked="0"/>
    </xf>
    <xf numFmtId="0" fontId="24" fillId="0" borderId="81" xfId="11" applyFont="1" applyFill="1" applyBorder="1"/>
    <xf numFmtId="0" fontId="24" fillId="0" borderId="33" xfId="11" applyFont="1" applyFill="1" applyBorder="1"/>
    <xf numFmtId="0" fontId="24" fillId="0" borderId="84" xfId="11" applyFont="1" applyFill="1" applyBorder="1"/>
    <xf numFmtId="0" fontId="24" fillId="0" borderId="46" xfId="11" applyFont="1" applyFill="1" applyBorder="1"/>
    <xf numFmtId="0" fontId="23" fillId="0" borderId="46" xfId="8" applyNumberFormat="1" applyFont="1" applyFill="1" applyBorder="1" applyAlignment="1" applyProtection="1">
      <alignment vertical="center"/>
      <protection locked="0"/>
    </xf>
    <xf numFmtId="0" fontId="24" fillId="0" borderId="44" xfId="11" applyFont="1" applyFill="1" applyBorder="1"/>
    <xf numFmtId="0" fontId="24" fillId="0" borderId="47" xfId="11" applyFont="1" applyFill="1" applyBorder="1"/>
    <xf numFmtId="0" fontId="24" fillId="0" borderId="46" xfId="11" applyFont="1" applyFill="1" applyBorder="1"/>
    <xf numFmtId="0" fontId="23" fillId="0" borderId="46" xfId="8" applyNumberFormat="1" applyFont="1" applyFill="1" applyBorder="1" applyAlignment="1" applyProtection="1">
      <alignment vertical="center"/>
      <protection locked="0"/>
    </xf>
    <xf numFmtId="0" fontId="24" fillId="0" borderId="44" xfId="11" applyFont="1" applyFill="1" applyBorder="1"/>
    <xf numFmtId="0" fontId="24" fillId="0" borderId="47" xfId="11" applyFont="1" applyFill="1" applyBorder="1"/>
    <xf numFmtId="0" fontId="23" fillId="0" borderId="44" xfId="8" applyNumberFormat="1" applyFont="1" applyFill="1" applyBorder="1" applyAlignment="1" applyProtection="1">
      <alignment vertical="center"/>
      <protection locked="0"/>
    </xf>
    <xf numFmtId="0" fontId="23" fillId="0" borderId="47" xfId="8" applyNumberFormat="1" applyFont="1" applyFill="1" applyBorder="1" applyAlignment="1" applyProtection="1">
      <alignment vertical="center"/>
      <protection locked="0"/>
    </xf>
    <xf numFmtId="0" fontId="24" fillId="0" borderId="46" xfId="11" applyFont="1" applyFill="1" applyBorder="1"/>
    <xf numFmtId="0" fontId="23" fillId="0" borderId="46" xfId="8" applyNumberFormat="1" applyFont="1" applyFill="1" applyBorder="1" applyAlignment="1" applyProtection="1">
      <alignment vertical="center"/>
      <protection locked="0"/>
    </xf>
    <xf numFmtId="0" fontId="24" fillId="0" borderId="44" xfId="11" applyFont="1" applyFill="1" applyBorder="1"/>
    <xf numFmtId="0" fontId="24" fillId="0" borderId="47" xfId="11" applyFont="1" applyFill="1" applyBorder="1"/>
    <xf numFmtId="0" fontId="23" fillId="0" borderId="44" xfId="8" applyNumberFormat="1" applyFont="1" applyFill="1" applyBorder="1" applyAlignment="1" applyProtection="1">
      <alignment vertical="center"/>
      <protection locked="0"/>
    </xf>
    <xf numFmtId="0" fontId="23" fillId="0" borderId="47" xfId="8" applyNumberFormat="1" applyFont="1" applyFill="1" applyBorder="1" applyAlignment="1" applyProtection="1">
      <alignment vertical="center"/>
      <protection locked="0"/>
    </xf>
    <xf numFmtId="0" fontId="24" fillId="0" borderId="46" xfId="11" applyFont="1" applyFill="1" applyBorder="1"/>
    <xf numFmtId="0" fontId="23" fillId="0" borderId="46" xfId="8" applyNumberFormat="1" applyFont="1" applyFill="1" applyBorder="1" applyAlignment="1" applyProtection="1">
      <alignment vertical="center"/>
      <protection locked="0"/>
    </xf>
    <xf numFmtId="0" fontId="24" fillId="0" borderId="44" xfId="11" applyFont="1" applyFill="1" applyBorder="1"/>
    <xf numFmtId="0" fontId="24" fillId="0" borderId="47" xfId="11" applyFont="1" applyFill="1" applyBorder="1"/>
    <xf numFmtId="0" fontId="24" fillId="0" borderId="46" xfId="11" applyFont="1" applyFill="1" applyBorder="1"/>
    <xf numFmtId="0" fontId="24" fillId="0" borderId="85" xfId="11" applyFont="1" applyFill="1" applyBorder="1"/>
    <xf numFmtId="0" fontId="24" fillId="0" borderId="78" xfId="11" applyFont="1" applyFill="1" applyBorder="1"/>
    <xf numFmtId="0" fontId="24" fillId="0" borderId="86" xfId="11" applyFont="1" applyFill="1" applyBorder="1"/>
    <xf numFmtId="0" fontId="24" fillId="0" borderId="44" xfId="11" applyFont="1" applyFill="1" applyBorder="1"/>
    <xf numFmtId="0" fontId="24" fillId="0" borderId="83" xfId="11" applyFont="1" applyFill="1" applyBorder="1"/>
    <xf numFmtId="0" fontId="24" fillId="0" borderId="47" xfId="11" applyFont="1" applyFill="1" applyBorder="1"/>
    <xf numFmtId="0" fontId="24" fillId="0" borderId="35" xfId="11" applyFont="1" applyFill="1" applyBorder="1"/>
    <xf numFmtId="0" fontId="24" fillId="0" borderId="81" xfId="11" applyFont="1" applyFill="1" applyBorder="1"/>
    <xf numFmtId="0" fontId="24" fillId="0" borderId="33" xfId="11" applyFont="1" applyFill="1" applyBorder="1"/>
    <xf numFmtId="0" fontId="24" fillId="0" borderId="84" xfId="11" applyFont="1" applyFill="1" applyBorder="1"/>
    <xf numFmtId="0" fontId="0" fillId="3" borderId="10" xfId="0" applyFill="1" applyBorder="1" applyAlignment="1">
      <alignment horizontal="left" vertical="center" wrapText="1"/>
    </xf>
    <xf numFmtId="0" fontId="2" fillId="3" borderId="10" xfId="0" applyFont="1" applyFill="1" applyBorder="1" applyAlignment="1">
      <alignment horizontal="left" vertical="center" wrapText="1"/>
    </xf>
    <xf numFmtId="0" fontId="2" fillId="3" borderId="11" xfId="0" applyFont="1" applyFill="1" applyBorder="1" applyAlignment="1">
      <alignment horizontal="left" vertical="center" wrapText="1"/>
    </xf>
    <xf numFmtId="0" fontId="2" fillId="3" borderId="48" xfId="0" applyFont="1" applyFill="1" applyBorder="1" applyAlignment="1">
      <alignment horizontal="left" vertical="center" wrapText="1"/>
    </xf>
    <xf numFmtId="0" fontId="2" fillId="3" borderId="52" xfId="0" applyFont="1" applyFill="1" applyBorder="1" applyAlignment="1">
      <alignment horizontal="left" vertical="center" wrapText="1"/>
    </xf>
    <xf numFmtId="0" fontId="3" fillId="3" borderId="18" xfId="0" applyFont="1" applyFill="1" applyBorder="1" applyAlignment="1">
      <alignment horizontal="left" vertical="center"/>
    </xf>
    <xf numFmtId="0" fontId="3" fillId="3" borderId="23" xfId="0" applyFont="1" applyFill="1" applyBorder="1" applyAlignment="1">
      <alignment horizontal="left" vertical="center"/>
    </xf>
    <xf numFmtId="0" fontId="0" fillId="3" borderId="48" xfId="0" applyFill="1" applyBorder="1" applyAlignment="1">
      <alignment horizontal="left" vertical="center" wrapText="1"/>
    </xf>
    <xf numFmtId="0" fontId="3" fillId="2" borderId="38" xfId="0" applyFont="1" applyFill="1" applyBorder="1" applyAlignment="1">
      <alignment horizontal="center" vertical="center"/>
    </xf>
    <xf numFmtId="0" fontId="3" fillId="2" borderId="53" xfId="0" applyFont="1" applyFill="1" applyBorder="1" applyAlignment="1">
      <alignment horizontal="center" vertical="center"/>
    </xf>
    <xf numFmtId="0" fontId="3" fillId="3" borderId="21" xfId="0" applyFont="1" applyFill="1" applyBorder="1" applyAlignment="1">
      <alignment horizontal="left" vertical="center"/>
    </xf>
    <xf numFmtId="0" fontId="3" fillId="3" borderId="22" xfId="0" applyFont="1" applyFill="1" applyBorder="1" applyAlignment="1">
      <alignment horizontal="left" vertical="center"/>
    </xf>
    <xf numFmtId="0" fontId="3" fillId="3" borderId="20" xfId="0" applyFont="1" applyFill="1" applyBorder="1" applyAlignment="1">
      <alignment horizontal="left" vertical="center"/>
    </xf>
    <xf numFmtId="0" fontId="3" fillId="3" borderId="37" xfId="0" applyFont="1" applyFill="1" applyBorder="1" applyAlignment="1">
      <alignment horizontal="center" vertical="center"/>
    </xf>
    <xf numFmtId="0" fontId="3" fillId="3" borderId="38" xfId="0" applyFont="1" applyFill="1" applyBorder="1" applyAlignment="1">
      <alignment horizontal="center" vertical="center"/>
    </xf>
    <xf numFmtId="0" fontId="5" fillId="3" borderId="18" xfId="0" applyFont="1" applyFill="1" applyBorder="1" applyAlignment="1">
      <alignment horizontal="left" vertical="center" wrapText="1"/>
    </xf>
    <xf numFmtId="0" fontId="5" fillId="3" borderId="48" xfId="0" applyFont="1" applyFill="1" applyBorder="1" applyAlignment="1">
      <alignment horizontal="left" vertical="center" wrapText="1"/>
    </xf>
    <xf numFmtId="0" fontId="5" fillId="3" borderId="10" xfId="0" applyFont="1" applyFill="1" applyBorder="1" applyAlignment="1">
      <alignment horizontal="left" vertical="center" wrapText="1"/>
    </xf>
    <xf numFmtId="0" fontId="5" fillId="3" borderId="52" xfId="0" applyFont="1" applyFill="1" applyBorder="1" applyAlignment="1">
      <alignment horizontal="left" vertical="center" wrapText="1"/>
    </xf>
    <xf numFmtId="0" fontId="5" fillId="3" borderId="11" xfId="0" applyFont="1" applyFill="1" applyBorder="1" applyAlignment="1">
      <alignment horizontal="left" vertical="center" wrapText="1"/>
    </xf>
    <xf numFmtId="0" fontId="3" fillId="3" borderId="11" xfId="0" applyFont="1" applyFill="1" applyBorder="1" applyAlignment="1">
      <alignment horizontal="left" vertical="center"/>
    </xf>
    <xf numFmtId="0" fontId="5" fillId="3" borderId="20" xfId="0" applyFont="1" applyFill="1" applyBorder="1" applyAlignment="1">
      <alignment horizontal="left" vertical="center"/>
    </xf>
    <xf numFmtId="0" fontId="5" fillId="3" borderId="21" xfId="0" applyFont="1" applyFill="1" applyBorder="1" applyAlignment="1">
      <alignment horizontal="left" vertical="center"/>
    </xf>
    <xf numFmtId="0" fontId="5" fillId="3" borderId="18" xfId="0" applyFont="1" applyFill="1" applyBorder="1" applyAlignment="1">
      <alignment horizontal="left" vertical="center"/>
    </xf>
    <xf numFmtId="0" fontId="5" fillId="3" borderId="23" xfId="0" applyFont="1" applyFill="1" applyBorder="1" applyAlignment="1">
      <alignment horizontal="left" vertical="center"/>
    </xf>
    <xf numFmtId="0" fontId="5" fillId="3" borderId="22" xfId="0" applyFont="1" applyFill="1" applyBorder="1" applyAlignment="1">
      <alignment horizontal="left" vertical="center"/>
    </xf>
    <xf numFmtId="0" fontId="5" fillId="3" borderId="11" xfId="0" applyFont="1" applyFill="1" applyBorder="1" applyAlignment="1">
      <alignment horizontal="left" vertical="center"/>
    </xf>
    <xf numFmtId="0" fontId="3" fillId="5" borderId="38" xfId="0" applyFont="1" applyFill="1" applyBorder="1" applyAlignment="1">
      <alignment horizontal="center" vertical="center"/>
    </xf>
    <xf numFmtId="0" fontId="3" fillId="5" borderId="53" xfId="0" applyFont="1" applyFill="1" applyBorder="1" applyAlignment="1">
      <alignment horizontal="center" vertical="center"/>
    </xf>
    <xf numFmtId="0" fontId="6" fillId="12" borderId="50" xfId="0" applyFont="1" applyFill="1" applyBorder="1" applyAlignment="1">
      <alignment horizontal="right" vertical="center"/>
    </xf>
    <xf numFmtId="0" fontId="6" fillId="12" borderId="70" xfId="0" applyFont="1" applyFill="1" applyBorder="1" applyAlignment="1">
      <alignment horizontal="right" vertical="center"/>
    </xf>
    <xf numFmtId="0" fontId="6" fillId="12" borderId="49" xfId="0" applyFont="1" applyFill="1" applyBorder="1" applyAlignment="1">
      <alignment horizontal="right" vertical="center"/>
    </xf>
    <xf numFmtId="0" fontId="5" fillId="0" borderId="67" xfId="0" applyFont="1" applyFill="1" applyBorder="1" applyAlignment="1">
      <alignment horizontal="center" vertical="center"/>
    </xf>
    <xf numFmtId="0" fontId="5" fillId="0" borderId="75"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2" xfId="0" applyFont="1" applyFill="1" applyBorder="1" applyAlignment="1">
      <alignment horizontal="center" vertical="center"/>
    </xf>
    <xf numFmtId="0" fontId="5" fillId="9" borderId="46" xfId="0" applyFont="1" applyFill="1" applyBorder="1" applyAlignment="1">
      <alignment horizontal="left" vertical="center"/>
    </xf>
    <xf numFmtId="0" fontId="5" fillId="9" borderId="44" xfId="0" applyFont="1" applyFill="1" applyBorder="1" applyAlignment="1">
      <alignment horizontal="left" vertical="center"/>
    </xf>
    <xf numFmtId="0" fontId="5" fillId="9" borderId="47" xfId="0" applyFont="1" applyFill="1" applyBorder="1" applyAlignment="1">
      <alignment horizontal="left" vertical="center"/>
    </xf>
    <xf numFmtId="0" fontId="5" fillId="9" borderId="46" xfId="0" applyFont="1" applyFill="1" applyBorder="1" applyAlignment="1">
      <alignment horizontal="left" vertical="center" wrapText="1"/>
    </xf>
    <xf numFmtId="0" fontId="5" fillId="9" borderId="44" xfId="0" applyFont="1" applyFill="1" applyBorder="1" applyAlignment="1">
      <alignment horizontal="left" vertical="center" wrapText="1"/>
    </xf>
    <xf numFmtId="0" fontId="5" fillId="9" borderId="47" xfId="0" applyFont="1" applyFill="1" applyBorder="1" applyAlignment="1">
      <alignment horizontal="left" vertical="center" wrapText="1"/>
    </xf>
    <xf numFmtId="0" fontId="5" fillId="0" borderId="77" xfId="0" applyFont="1" applyFill="1" applyBorder="1" applyAlignment="1">
      <alignment horizontal="center" vertical="center"/>
    </xf>
    <xf numFmtId="0" fontId="5" fillId="0" borderId="16" xfId="0" applyFont="1" applyFill="1" applyBorder="1" applyAlignment="1">
      <alignment horizontal="center" vertical="center"/>
    </xf>
    <xf numFmtId="0" fontId="5" fillId="0" borderId="17" xfId="0" applyFont="1" applyFill="1" applyBorder="1" applyAlignment="1">
      <alignment horizontal="center" vertical="center"/>
    </xf>
    <xf numFmtId="0" fontId="6" fillId="9" borderId="50" xfId="0" applyFont="1" applyFill="1" applyBorder="1" applyAlignment="1">
      <alignment horizontal="right" vertical="center"/>
    </xf>
    <xf numFmtId="0" fontId="6" fillId="9" borderId="70" xfId="0" applyFont="1" applyFill="1" applyBorder="1" applyAlignment="1">
      <alignment horizontal="right" vertical="center"/>
    </xf>
    <xf numFmtId="0" fontId="6" fillId="9" borderId="49" xfId="0" applyFont="1" applyFill="1" applyBorder="1" applyAlignment="1">
      <alignment horizontal="right" vertical="center"/>
    </xf>
    <xf numFmtId="0" fontId="6" fillId="12" borderId="17" xfId="0" applyFont="1" applyFill="1" applyBorder="1" applyAlignment="1">
      <alignment horizontal="right" vertical="center"/>
    </xf>
    <xf numFmtId="0" fontId="6" fillId="12" borderId="8" xfId="0" applyFont="1" applyFill="1" applyBorder="1" applyAlignment="1">
      <alignment horizontal="right" vertical="center"/>
    </xf>
    <xf numFmtId="0" fontId="6" fillId="12" borderId="15" xfId="0" applyFont="1" applyFill="1" applyBorder="1" applyAlignment="1">
      <alignment horizontal="right" vertical="center"/>
    </xf>
    <xf numFmtId="0" fontId="3" fillId="9" borderId="50" xfId="0" applyFont="1" applyFill="1" applyBorder="1" applyAlignment="1">
      <alignment horizontal="center" vertical="center" wrapText="1"/>
    </xf>
    <xf numFmtId="0" fontId="3" fillId="9" borderId="51" xfId="0" applyFont="1" applyFill="1" applyBorder="1" applyAlignment="1">
      <alignment horizontal="center" vertical="center" wrapText="1"/>
    </xf>
    <xf numFmtId="0" fontId="3" fillId="0" borderId="38" xfId="0" applyFont="1" applyFill="1" applyBorder="1" applyAlignment="1">
      <alignment horizontal="center" vertical="center"/>
    </xf>
    <xf numFmtId="0" fontId="3" fillId="0" borderId="53" xfId="0" applyFont="1" applyFill="1" applyBorder="1" applyAlignment="1">
      <alignment horizontal="center" vertical="center"/>
    </xf>
    <xf numFmtId="0" fontId="3" fillId="10" borderId="38" xfId="0" applyFont="1" applyFill="1" applyBorder="1" applyAlignment="1">
      <alignment horizontal="center" vertical="center"/>
    </xf>
    <xf numFmtId="0" fontId="3" fillId="10" borderId="53" xfId="0" applyFont="1" applyFill="1" applyBorder="1" applyAlignment="1">
      <alignment horizontal="center" vertical="center"/>
    </xf>
    <xf numFmtId="0" fontId="3" fillId="0" borderId="74" xfId="0" applyFont="1" applyFill="1" applyBorder="1" applyAlignment="1" applyProtection="1">
      <alignment horizontal="center" vertical="center"/>
      <protection locked="0"/>
    </xf>
    <xf numFmtId="0" fontId="3" fillId="0" borderId="75" xfId="0" applyFont="1" applyFill="1" applyBorder="1" applyAlignment="1" applyProtection="1">
      <alignment horizontal="center" vertical="center"/>
      <protection locked="0"/>
    </xf>
    <xf numFmtId="0" fontId="3" fillId="0" borderId="15" xfId="0" applyFont="1" applyFill="1" applyBorder="1" applyAlignment="1" applyProtection="1">
      <alignment horizontal="center" vertical="center"/>
      <protection locked="0"/>
    </xf>
    <xf numFmtId="0" fontId="3" fillId="0" borderId="67" xfId="0" applyFont="1" applyFill="1" applyBorder="1" applyAlignment="1" applyProtection="1">
      <alignment horizontal="center" vertical="center"/>
      <protection locked="0"/>
    </xf>
    <xf numFmtId="0" fontId="3" fillId="0" borderId="36" xfId="0" applyFont="1" applyFill="1" applyBorder="1" applyAlignment="1" applyProtection="1">
      <alignment horizontal="center" vertical="center"/>
      <protection locked="0"/>
    </xf>
    <xf numFmtId="0" fontId="22" fillId="0" borderId="48" xfId="2" applyFont="1" applyBorder="1" applyAlignment="1" applyProtection="1">
      <alignment horizontal="center" vertical="center"/>
    </xf>
    <xf numFmtId="0" fontId="22" fillId="0" borderId="10" xfId="2" applyFont="1" applyBorder="1" applyAlignment="1" applyProtection="1">
      <alignment horizontal="center" vertical="center"/>
    </xf>
    <xf numFmtId="0" fontId="22" fillId="0" borderId="11" xfId="2" applyFont="1" applyBorder="1" applyAlignment="1" applyProtection="1">
      <alignment horizontal="center" vertical="center"/>
    </xf>
    <xf numFmtId="0" fontId="3" fillId="0" borderId="40" xfId="0" applyFont="1" applyFill="1" applyBorder="1" applyAlignment="1" applyProtection="1">
      <alignment horizontal="center" vertical="center"/>
      <protection locked="0"/>
    </xf>
    <xf numFmtId="0" fontId="3" fillId="0" borderId="41" xfId="0" applyFont="1" applyFill="1" applyBorder="1" applyAlignment="1" applyProtection="1">
      <alignment horizontal="center" vertical="center"/>
      <protection locked="0"/>
    </xf>
    <xf numFmtId="0" fontId="3" fillId="0" borderId="72" xfId="0" applyFont="1" applyFill="1" applyBorder="1" applyAlignment="1" applyProtection="1">
      <alignment horizontal="center" vertical="center"/>
      <protection locked="0"/>
    </xf>
    <xf numFmtId="47" fontId="3" fillId="0" borderId="78" xfId="0" applyNumberFormat="1" applyFont="1" applyFill="1" applyBorder="1" applyAlignment="1" applyProtection="1">
      <alignment horizontal="center" vertical="center"/>
      <protection locked="0"/>
    </xf>
    <xf numFmtId="0" fontId="3" fillId="0" borderId="42" xfId="0" applyFont="1" applyFill="1" applyBorder="1" applyAlignment="1" applyProtection="1">
      <alignment horizontal="center" vertical="center"/>
      <protection locked="0"/>
    </xf>
    <xf numFmtId="0" fontId="3" fillId="0" borderId="78" xfId="0" applyFont="1" applyFill="1" applyBorder="1" applyAlignment="1" applyProtection="1">
      <alignment horizontal="center" vertical="center"/>
      <protection locked="0"/>
    </xf>
    <xf numFmtId="0" fontId="3" fillId="0" borderId="78" xfId="0" applyFont="1" applyFill="1" applyBorder="1" applyAlignment="1" applyProtection="1">
      <alignment horizontal="center" vertical="center"/>
    </xf>
    <xf numFmtId="0" fontId="3" fillId="0" borderId="41" xfId="0" applyFont="1" applyFill="1" applyBorder="1" applyAlignment="1" applyProtection="1">
      <alignment horizontal="center" vertical="center"/>
    </xf>
    <xf numFmtId="0" fontId="3" fillId="0" borderId="42" xfId="0" applyFont="1" applyFill="1" applyBorder="1" applyAlignment="1" applyProtection="1">
      <alignment horizontal="center" vertical="center"/>
    </xf>
    <xf numFmtId="0" fontId="3" fillId="0" borderId="4" xfId="0" applyFont="1" applyFill="1" applyBorder="1" applyAlignment="1" applyProtection="1">
      <alignment horizontal="center" vertical="center"/>
    </xf>
    <xf numFmtId="0" fontId="3" fillId="0" borderId="9" xfId="0" applyFont="1" applyFill="1" applyBorder="1" applyAlignment="1" applyProtection="1">
      <alignment horizontal="center" vertical="center"/>
    </xf>
    <xf numFmtId="0" fontId="3" fillId="0" borderId="20" xfId="0" applyFont="1" applyFill="1" applyBorder="1" applyAlignment="1" applyProtection="1">
      <alignment horizontal="center" vertical="center"/>
    </xf>
    <xf numFmtId="0" fontId="9" fillId="0" borderId="27" xfId="0" applyFont="1" applyFill="1" applyBorder="1" applyAlignment="1" applyProtection="1">
      <alignment horizontal="left"/>
    </xf>
    <xf numFmtId="0" fontId="9" fillId="0" borderId="43" xfId="0" applyFont="1" applyFill="1" applyBorder="1" applyAlignment="1" applyProtection="1">
      <alignment horizontal="left"/>
    </xf>
    <xf numFmtId="0" fontId="10" fillId="0" borderId="39" xfId="0" applyFont="1" applyFill="1" applyBorder="1" applyAlignment="1" applyProtection="1">
      <alignment horizontal="left"/>
    </xf>
    <xf numFmtId="0" fontId="10" fillId="0" borderId="70" xfId="0" applyFont="1" applyFill="1" applyBorder="1" applyAlignment="1" applyProtection="1">
      <alignment horizontal="left"/>
    </xf>
    <xf numFmtId="0" fontId="9" fillId="0" borderId="29" xfId="0" applyFont="1" applyFill="1" applyBorder="1" applyAlignment="1" applyProtection="1">
      <alignment horizontal="left"/>
    </xf>
    <xf numFmtId="0" fontId="9" fillId="0" borderId="45" xfId="0" applyFont="1" applyFill="1" applyBorder="1" applyAlignment="1" applyProtection="1">
      <alignment horizontal="left"/>
    </xf>
    <xf numFmtId="0" fontId="3" fillId="0" borderId="55" xfId="0" applyFont="1" applyFill="1" applyBorder="1" applyAlignment="1" applyProtection="1">
      <alignment vertical="center"/>
    </xf>
    <xf numFmtId="0" fontId="0" fillId="0" borderId="55" xfId="0" applyFill="1" applyBorder="1" applyAlignment="1" applyProtection="1">
      <alignment vertical="center"/>
    </xf>
    <xf numFmtId="0" fontId="0" fillId="0" borderId="56" xfId="0" applyFill="1" applyBorder="1" applyAlignment="1" applyProtection="1">
      <alignment vertical="center"/>
    </xf>
    <xf numFmtId="0" fontId="3" fillId="0" borderId="57" xfId="0" applyFont="1" applyFill="1" applyBorder="1" applyAlignment="1" applyProtection="1">
      <alignment vertical="center"/>
    </xf>
    <xf numFmtId="0" fontId="0" fillId="0" borderId="58" xfId="0" applyFill="1" applyBorder="1" applyAlignment="1" applyProtection="1">
      <alignment vertical="center"/>
    </xf>
    <xf numFmtId="0" fontId="0" fillId="0" borderId="59" xfId="0" applyFill="1" applyBorder="1" applyAlignment="1" applyProtection="1">
      <alignment vertical="center"/>
    </xf>
    <xf numFmtId="0" fontId="8" fillId="0" borderId="0" xfId="0" applyFont="1" applyFill="1" applyAlignment="1" applyProtection="1">
      <alignment horizontal="center"/>
    </xf>
    <xf numFmtId="0" fontId="9" fillId="0" borderId="63" xfId="0" applyFont="1" applyFill="1" applyBorder="1" applyAlignment="1" applyProtection="1"/>
    <xf numFmtId="0" fontId="9" fillId="0" borderId="64" xfId="0" applyFont="1" applyFill="1" applyBorder="1" applyAlignment="1" applyProtection="1"/>
    <xf numFmtId="0" fontId="9" fillId="0" borderId="65" xfId="0" applyFont="1" applyFill="1" applyBorder="1" applyAlignment="1" applyProtection="1"/>
    <xf numFmtId="0" fontId="5" fillId="0" borderId="18" xfId="0" applyFont="1" applyFill="1" applyBorder="1" applyAlignment="1" applyProtection="1">
      <alignment horizontal="left"/>
    </xf>
    <xf numFmtId="0" fontId="5" fillId="0" borderId="27" xfId="0" applyFont="1" applyFill="1" applyBorder="1" applyAlignment="1" applyProtection="1">
      <alignment horizontal="left"/>
    </xf>
    <xf numFmtId="0" fontId="5" fillId="0" borderId="28" xfId="0" applyFont="1" applyFill="1" applyBorder="1" applyAlignment="1" applyProtection="1">
      <alignment horizontal="left"/>
    </xf>
    <xf numFmtId="0" fontId="5" fillId="0" borderId="31" xfId="0" applyFont="1" applyFill="1" applyBorder="1" applyAlignment="1" applyProtection="1">
      <alignment horizontal="left"/>
    </xf>
    <xf numFmtId="0" fontId="7" fillId="0" borderId="66" xfId="0" applyFont="1" applyFill="1" applyBorder="1" applyAlignment="1" applyProtection="1">
      <alignment horizontal="left"/>
    </xf>
    <xf numFmtId="0" fontId="7" fillId="0" borderId="30" xfId="0" applyFont="1" applyFill="1" applyBorder="1" applyAlignment="1" applyProtection="1">
      <alignment horizontal="left"/>
    </xf>
    <xf numFmtId="0" fontId="7" fillId="0" borderId="30" xfId="0" applyFont="1" applyFill="1" applyBorder="1" applyAlignment="1" applyProtection="1">
      <alignment horizontal="center"/>
    </xf>
    <xf numFmtId="0" fontId="7" fillId="0" borderId="67" xfId="0" applyFont="1" applyFill="1" applyBorder="1" applyAlignment="1" applyProtection="1">
      <alignment horizontal="center"/>
    </xf>
    <xf numFmtId="0" fontId="5" fillId="0" borderId="43" xfId="0" applyFont="1" applyFill="1" applyBorder="1" applyAlignment="1" applyProtection="1">
      <alignment horizontal="left"/>
    </xf>
    <xf numFmtId="0" fontId="7" fillId="0" borderId="77" xfId="0" applyFont="1" applyFill="1" applyBorder="1" applyAlignment="1" applyProtection="1">
      <alignment horizontal="center"/>
    </xf>
    <xf numFmtId="0" fontId="5" fillId="0" borderId="69" xfId="0" applyFont="1" applyFill="1" applyBorder="1" applyAlignment="1" applyProtection="1">
      <alignment horizontal="left"/>
    </xf>
    <xf numFmtId="0" fontId="5" fillId="0" borderId="80" xfId="0" applyFont="1" applyFill="1" applyBorder="1" applyAlignment="1" applyProtection="1">
      <alignment horizontal="left"/>
    </xf>
    <xf numFmtId="0" fontId="9" fillId="0" borderId="68" xfId="0" applyFont="1" applyFill="1" applyBorder="1" applyAlignment="1" applyProtection="1">
      <alignment horizontal="left"/>
    </xf>
    <xf numFmtId="0" fontId="9" fillId="0" borderId="79" xfId="0" applyFont="1" applyFill="1" applyBorder="1" applyAlignment="1" applyProtection="1">
      <alignment horizontal="left"/>
    </xf>
    <xf numFmtId="0" fontId="5" fillId="0" borderId="68" xfId="0" applyFont="1" applyFill="1" applyBorder="1" applyAlignment="1" applyProtection="1">
      <alignment horizontal="left"/>
    </xf>
    <xf numFmtId="0" fontId="5" fillId="0" borderId="79" xfId="0" applyFont="1" applyFill="1" applyBorder="1" applyAlignment="1" applyProtection="1">
      <alignment horizontal="left"/>
    </xf>
    <xf numFmtId="0" fontId="9" fillId="0" borderId="18" xfId="0" applyFont="1" applyFill="1" applyBorder="1" applyAlignment="1" applyProtection="1">
      <alignment horizontal="left"/>
    </xf>
    <xf numFmtId="0" fontId="9" fillId="0" borderId="66" xfId="0" applyFont="1" applyFill="1" applyBorder="1" applyAlignment="1" applyProtection="1">
      <alignment horizontal="left"/>
    </xf>
    <xf numFmtId="0" fontId="9" fillId="0" borderId="30" xfId="0" applyFont="1" applyFill="1" applyBorder="1" applyAlignment="1" applyProtection="1">
      <alignment horizontal="left"/>
    </xf>
    <xf numFmtId="0" fontId="9" fillId="0" borderId="28" xfId="0" applyFont="1" applyFill="1" applyBorder="1" applyAlignment="1" applyProtection="1">
      <alignment horizontal="left"/>
    </xf>
    <xf numFmtId="0" fontId="9" fillId="0" borderId="31" xfId="0" applyFont="1" applyFill="1" applyBorder="1" applyAlignment="1" applyProtection="1">
      <alignment horizontal="left"/>
    </xf>
    <xf numFmtId="0" fontId="14" fillId="0" borderId="66" xfId="0" applyFont="1" applyFill="1" applyBorder="1" applyAlignment="1" applyProtection="1">
      <alignment horizontal="left"/>
    </xf>
    <xf numFmtId="0" fontId="14" fillId="0" borderId="30" xfId="0" applyFont="1" applyFill="1" applyBorder="1" applyAlignment="1" applyProtection="1">
      <alignment horizontal="left"/>
    </xf>
    <xf numFmtId="0" fontId="3" fillId="0" borderId="60" xfId="0" applyFont="1" applyFill="1" applyBorder="1" applyAlignment="1" applyProtection="1">
      <alignment horizontal="center" vertical="center"/>
    </xf>
    <xf numFmtId="0" fontId="3" fillId="0" borderId="61" xfId="0" applyFont="1" applyFill="1" applyBorder="1" applyAlignment="1" applyProtection="1">
      <alignment horizontal="center" vertical="center"/>
    </xf>
    <xf numFmtId="0" fontId="3" fillId="0" borderId="62" xfId="0" applyFont="1" applyFill="1" applyBorder="1" applyAlignment="1" applyProtection="1">
      <alignment horizontal="center" vertical="center"/>
    </xf>
    <xf numFmtId="0" fontId="0" fillId="0" borderId="27" xfId="0" applyFill="1" applyBorder="1" applyAlignment="1" applyProtection="1">
      <alignment horizontal="left"/>
    </xf>
    <xf numFmtId="0" fontId="0" fillId="0" borderId="43" xfId="0" applyFill="1" applyBorder="1" applyAlignment="1" applyProtection="1">
      <alignment horizontal="left"/>
    </xf>
    <xf numFmtId="0" fontId="0" fillId="0" borderId="69" xfId="0" applyFill="1" applyBorder="1" applyAlignment="1" applyProtection="1">
      <alignment horizontal="left"/>
    </xf>
    <xf numFmtId="0" fontId="0" fillId="0" borderId="80" xfId="0" applyFill="1" applyBorder="1" applyAlignment="1" applyProtection="1">
      <alignment horizontal="left"/>
    </xf>
    <xf numFmtId="0" fontId="6" fillId="0" borderId="0" xfId="0" applyFont="1" applyFill="1" applyAlignment="1" applyProtection="1">
      <alignment horizontal="center"/>
    </xf>
    <xf numFmtId="0" fontId="10" fillId="0" borderId="50" xfId="0" applyFont="1" applyFill="1" applyBorder="1" applyAlignment="1" applyProtection="1">
      <alignment horizontal="center"/>
    </xf>
    <xf numFmtId="0" fontId="10" fillId="0" borderId="70" xfId="0" applyFont="1" applyFill="1" applyBorder="1" applyAlignment="1" applyProtection="1">
      <alignment horizontal="center"/>
    </xf>
    <xf numFmtId="0" fontId="10" fillId="0" borderId="49" xfId="0" applyFont="1" applyFill="1" applyBorder="1" applyAlignment="1" applyProtection="1">
      <alignment horizontal="center"/>
    </xf>
    <xf numFmtId="0" fontId="10" fillId="0" borderId="71" xfId="0" applyFont="1" applyFill="1" applyBorder="1" applyAlignment="1" applyProtection="1">
      <alignment horizontal="center" vertical="center" shrinkToFit="1"/>
    </xf>
    <xf numFmtId="0" fontId="10" fillId="0" borderId="10" xfId="0" applyFont="1" applyFill="1" applyBorder="1" applyAlignment="1" applyProtection="1">
      <alignment horizontal="center" vertical="center" shrinkToFit="1"/>
    </xf>
    <xf numFmtId="0" fontId="10" fillId="0" borderId="11" xfId="0" applyFont="1" applyFill="1" applyBorder="1" applyAlignment="1" applyProtection="1">
      <alignment horizontal="center" vertical="center" shrinkToFit="1"/>
    </xf>
    <xf numFmtId="0" fontId="10" fillId="0" borderId="48" xfId="0" applyFont="1" applyFill="1" applyBorder="1" applyAlignment="1" applyProtection="1">
      <alignment horizontal="center" vertical="center" shrinkToFit="1"/>
    </xf>
    <xf numFmtId="0" fontId="10" fillId="0" borderId="52" xfId="0" applyFont="1" applyFill="1" applyBorder="1" applyAlignment="1" applyProtection="1">
      <alignment horizontal="center" vertical="center" shrinkToFit="1"/>
    </xf>
    <xf numFmtId="0" fontId="6" fillId="0" borderId="48" xfId="0" applyFont="1" applyFill="1" applyBorder="1" applyAlignment="1" applyProtection="1">
      <alignment horizontal="center" vertical="center" textRotation="45" shrinkToFit="1"/>
    </xf>
    <xf numFmtId="0" fontId="6" fillId="0" borderId="10" xfId="0" applyFont="1" applyFill="1" applyBorder="1" applyAlignment="1" applyProtection="1">
      <alignment horizontal="center" vertical="center" textRotation="45" shrinkToFit="1"/>
    </xf>
    <xf numFmtId="0" fontId="6" fillId="0" borderId="13" xfId="0" applyFont="1" applyFill="1" applyBorder="1" applyAlignment="1" applyProtection="1">
      <alignment horizontal="center" vertical="center" textRotation="45" shrinkToFit="1"/>
    </xf>
    <xf numFmtId="0" fontId="6" fillId="0" borderId="71" xfId="0" applyFont="1" applyFill="1" applyBorder="1" applyAlignment="1" applyProtection="1">
      <alignment horizontal="center" vertical="center" textRotation="45" shrinkToFit="1"/>
    </xf>
    <xf numFmtId="0" fontId="6" fillId="0" borderId="11" xfId="0" applyFont="1" applyFill="1" applyBorder="1" applyAlignment="1" applyProtection="1">
      <alignment horizontal="center" vertical="center" textRotation="45" shrinkToFit="1"/>
    </xf>
    <xf numFmtId="0" fontId="13" fillId="0" borderId="0" xfId="0" applyFont="1" applyFill="1" applyBorder="1" applyAlignment="1" applyProtection="1">
      <alignment horizontal="center"/>
    </xf>
    <xf numFmtId="0" fontId="9" fillId="0" borderId="40" xfId="0" applyNumberFormat="1" applyFont="1" applyFill="1" applyBorder="1" applyAlignment="1" applyProtection="1">
      <alignment horizontal="center" vertical="center"/>
    </xf>
    <xf numFmtId="0" fontId="9" fillId="0" borderId="41" xfId="0" applyNumberFormat="1" applyFont="1" applyFill="1" applyBorder="1" applyAlignment="1" applyProtection="1">
      <alignment horizontal="center" vertical="center"/>
    </xf>
    <xf numFmtId="0" fontId="9" fillId="0" borderId="42" xfId="0" applyNumberFormat="1" applyFont="1" applyFill="1" applyBorder="1" applyAlignment="1" applyProtection="1">
      <alignment horizontal="center" vertical="center"/>
    </xf>
    <xf numFmtId="0" fontId="6" fillId="0" borderId="0" xfId="0" applyFont="1" applyFill="1" applyBorder="1" applyAlignment="1" applyProtection="1">
      <alignment horizontal="center"/>
    </xf>
    <xf numFmtId="0" fontId="14" fillId="0" borderId="68" xfId="0" applyFont="1" applyFill="1" applyBorder="1" applyAlignment="1" applyProtection="1">
      <alignment horizontal="left"/>
    </xf>
    <xf numFmtId="0" fontId="14" fillId="0" borderId="79" xfId="0" applyFont="1" applyFill="1" applyBorder="1" applyAlignment="1" applyProtection="1">
      <alignment horizontal="left"/>
    </xf>
    <xf numFmtId="0" fontId="3" fillId="0" borderId="40" xfId="0" applyFont="1" applyFill="1" applyBorder="1" applyAlignment="1" applyProtection="1">
      <alignment horizontal="center" vertical="center"/>
    </xf>
    <xf numFmtId="0" fontId="3" fillId="0" borderId="72" xfId="0" applyFont="1" applyFill="1" applyBorder="1" applyAlignment="1" applyProtection="1">
      <alignment horizontal="center" vertical="center"/>
    </xf>
    <xf numFmtId="0" fontId="9" fillId="3" borderId="71" xfId="0" applyFont="1" applyFill="1" applyBorder="1" applyAlignment="1" applyProtection="1">
      <alignment horizontal="left" vertical="center"/>
    </xf>
    <xf numFmtId="0" fontId="9" fillId="3" borderId="10" xfId="0" applyFont="1" applyFill="1" applyBorder="1" applyAlignment="1" applyProtection="1">
      <alignment horizontal="left" vertical="center"/>
    </xf>
    <xf numFmtId="0" fontId="9" fillId="3" borderId="52" xfId="0" applyFont="1" applyFill="1" applyBorder="1" applyAlignment="1" applyProtection="1">
      <alignment horizontal="left" vertical="center"/>
    </xf>
    <xf numFmtId="0" fontId="9" fillId="3" borderId="4" xfId="0" applyFont="1" applyFill="1" applyBorder="1" applyAlignment="1" applyProtection="1">
      <alignment horizontal="left" vertical="center"/>
    </xf>
    <xf numFmtId="0" fontId="9" fillId="3" borderId="9" xfId="0" applyFont="1" applyFill="1" applyBorder="1" applyAlignment="1" applyProtection="1">
      <alignment horizontal="left" vertical="center"/>
    </xf>
    <xf numFmtId="0" fontId="9" fillId="3" borderId="6" xfId="0" applyFont="1" applyFill="1" applyBorder="1" applyAlignment="1" applyProtection="1">
      <alignment horizontal="left" vertical="center"/>
    </xf>
    <xf numFmtId="0" fontId="6" fillId="0" borderId="0" xfId="0" applyFont="1" applyAlignment="1" applyProtection="1">
      <alignment horizontal="center"/>
    </xf>
    <xf numFmtId="0" fontId="6" fillId="3" borderId="50" xfId="0" applyFont="1" applyFill="1" applyBorder="1" applyAlignment="1" applyProtection="1">
      <alignment horizontal="center"/>
    </xf>
    <xf numFmtId="0" fontId="6" fillId="3" borderId="70" xfId="0" applyFont="1" applyFill="1" applyBorder="1" applyAlignment="1" applyProtection="1">
      <alignment horizontal="center"/>
    </xf>
    <xf numFmtId="0" fontId="6" fillId="3" borderId="49" xfId="0" applyFont="1" applyFill="1" applyBorder="1" applyAlignment="1" applyProtection="1">
      <alignment horizontal="center"/>
    </xf>
  </cellXfs>
  <cellStyles count="19">
    <cellStyle name="Normal" xfId="0" builtinId="0"/>
    <cellStyle name="Normal 10" xfId="3"/>
    <cellStyle name="Normal 11" xfId="12"/>
    <cellStyle name="Normal 2" xfId="1"/>
    <cellStyle name="Normal 2 2" xfId="4"/>
    <cellStyle name="Normal 2 3" xfId="2"/>
    <cellStyle name="Normal 3" xfId="5"/>
    <cellStyle name="Normal 3 2" xfId="13"/>
    <cellStyle name="Normal 4" xfId="6"/>
    <cellStyle name="Normal 4 2" xfId="14"/>
    <cellStyle name="Normal 5" xfId="7"/>
    <cellStyle name="Normal 5 2" xfId="15"/>
    <cellStyle name="Normal 6" xfId="8"/>
    <cellStyle name="Normal 6 2" xfId="16"/>
    <cellStyle name="Normal 7" xfId="9"/>
    <cellStyle name="Normal 7 2" xfId="17"/>
    <cellStyle name="Normal 8" xfId="10"/>
    <cellStyle name="Normal 8 2" xfId="18"/>
    <cellStyle name="Normal 9" xfId="1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7</xdr:col>
      <xdr:colOff>0</xdr:colOff>
      <xdr:row>366</xdr:row>
      <xdr:rowOff>28575</xdr:rowOff>
    </xdr:from>
    <xdr:to>
      <xdr:col>7</xdr:col>
      <xdr:colOff>0</xdr:colOff>
      <xdr:row>368</xdr:row>
      <xdr:rowOff>190500</xdr:rowOff>
    </xdr:to>
    <xdr:sp macro="" textlink="">
      <xdr:nvSpPr>
        <xdr:cNvPr id="119831" name="Line 1"/>
        <xdr:cNvSpPr>
          <a:spLocks noChangeShapeType="1"/>
        </xdr:cNvSpPr>
      </xdr:nvSpPr>
      <xdr:spPr bwMode="auto">
        <a:xfrm>
          <a:off x="4562475" y="56064150"/>
          <a:ext cx="0" cy="57150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7</xdr:col>
      <xdr:colOff>0</xdr:colOff>
      <xdr:row>365</xdr:row>
      <xdr:rowOff>190500</xdr:rowOff>
    </xdr:from>
    <xdr:to>
      <xdr:col>7</xdr:col>
      <xdr:colOff>0</xdr:colOff>
      <xdr:row>368</xdr:row>
      <xdr:rowOff>190500</xdr:rowOff>
    </xdr:to>
    <xdr:sp macro="" textlink="">
      <xdr:nvSpPr>
        <xdr:cNvPr id="119832" name="Line 4"/>
        <xdr:cNvSpPr>
          <a:spLocks noChangeShapeType="1"/>
        </xdr:cNvSpPr>
      </xdr:nvSpPr>
      <xdr:spPr bwMode="auto">
        <a:xfrm>
          <a:off x="4562475" y="56016525"/>
          <a:ext cx="0" cy="619125"/>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twoCellAnchor>
    <xdr:from>
      <xdr:col>8</xdr:col>
      <xdr:colOff>600075</xdr:colOff>
      <xdr:row>366</xdr:row>
      <xdr:rowOff>9525</xdr:rowOff>
    </xdr:from>
    <xdr:to>
      <xdr:col>8</xdr:col>
      <xdr:colOff>600075</xdr:colOff>
      <xdr:row>369</xdr:row>
      <xdr:rowOff>0</xdr:rowOff>
    </xdr:to>
    <xdr:sp macro="" textlink="">
      <xdr:nvSpPr>
        <xdr:cNvPr id="119833" name="Line 5"/>
        <xdr:cNvSpPr>
          <a:spLocks noChangeShapeType="1"/>
        </xdr:cNvSpPr>
      </xdr:nvSpPr>
      <xdr:spPr bwMode="auto">
        <a:xfrm>
          <a:off x="5162550" y="56045100"/>
          <a:ext cx="0" cy="609600"/>
        </a:xfrm>
        <a:prstGeom prst="line">
          <a:avLst/>
        </a:prstGeom>
        <a:noFill/>
        <a:ln w="9525">
          <a:solidFill>
            <a:srgbClr val="000000"/>
          </a:solidFill>
          <a:round/>
          <a:headEnd/>
          <a:tailEnd/>
        </a:ln>
        <a:extLst>
          <a:ext uri="{909E8E84-426E-40DD-AFC4-6F175D3DCCD1}">
            <a14:hiddenFill xmlns:a14="http://schemas.microsoft.com/office/drawing/2010/main" xmlns="">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pageSetUpPr fitToPage="1"/>
  </sheetPr>
  <dimension ref="A1:B8"/>
  <sheetViews>
    <sheetView workbookViewId="0">
      <selection activeCell="E5" sqref="E5"/>
    </sheetView>
  </sheetViews>
  <sheetFormatPr defaultRowHeight="15"/>
  <cols>
    <col min="1" max="1" width="32.140625" style="165" customWidth="1"/>
    <col min="2" max="2" width="113.5703125" style="159" customWidth="1"/>
    <col min="3" max="16384" width="9.140625" style="159"/>
  </cols>
  <sheetData>
    <row r="1" spans="1:2">
      <c r="A1" s="158" t="s">
        <v>56</v>
      </c>
    </row>
    <row r="2" spans="1:2" ht="45">
      <c r="A2" s="160" t="s">
        <v>57</v>
      </c>
      <c r="B2" s="161" t="s">
        <v>58</v>
      </c>
    </row>
    <row r="3" spans="1:2" ht="45">
      <c r="A3" s="160" t="s">
        <v>59</v>
      </c>
      <c r="B3" s="161" t="s">
        <v>60</v>
      </c>
    </row>
    <row r="4" spans="1:2" ht="30">
      <c r="A4" s="162" t="s">
        <v>61</v>
      </c>
      <c r="B4" s="161" t="s">
        <v>62</v>
      </c>
    </row>
    <row r="5" spans="1:2" ht="30">
      <c r="A5" s="162" t="s">
        <v>63</v>
      </c>
      <c r="B5" s="161" t="s">
        <v>64</v>
      </c>
    </row>
    <row r="6" spans="1:2" ht="90">
      <c r="A6" s="163" t="s">
        <v>65</v>
      </c>
      <c r="B6" s="161" t="s">
        <v>120</v>
      </c>
    </row>
    <row r="7" spans="1:2" ht="30">
      <c r="A7" s="164" t="s">
        <v>66</v>
      </c>
      <c r="B7" s="161" t="s">
        <v>67</v>
      </c>
    </row>
    <row r="8" spans="1:2" ht="30">
      <c r="A8" s="164" t="s">
        <v>68</v>
      </c>
      <c r="B8" s="161" t="s">
        <v>67</v>
      </c>
    </row>
  </sheetData>
  <pageMargins left="0.7" right="0.7" top="0.75" bottom="0.75" header="0.3" footer="0.3"/>
  <pageSetup paperSize="9" scale="90" orientation="landscape"/>
  <headerFooter>
    <oddFooter>&amp;CPERSONAL AND CONFIDENTIAL</oddFooter>
  </headerFooter>
</worksheet>
</file>

<file path=xl/worksheets/sheet2.xml><?xml version="1.0" encoding="utf-8"?>
<worksheet xmlns="http://schemas.openxmlformats.org/spreadsheetml/2006/main" xmlns:r="http://schemas.openxmlformats.org/officeDocument/2006/relationships">
  <sheetPr>
    <tabColor rgb="FFFFFF00"/>
    <pageSetUpPr fitToPage="1"/>
  </sheetPr>
  <dimension ref="A1:N36"/>
  <sheetViews>
    <sheetView zoomScale="90" zoomScaleNormal="90" workbookViewId="0">
      <selection activeCell="F29" sqref="F29"/>
    </sheetView>
  </sheetViews>
  <sheetFormatPr defaultRowHeight="12.75"/>
  <cols>
    <col min="1" max="1" width="2.42578125" style="43" customWidth="1"/>
    <col min="2" max="2" width="7.85546875" style="44" customWidth="1"/>
    <col min="3" max="3" width="14.28515625" style="43" customWidth="1"/>
    <col min="4" max="4" width="20" style="43" bestFit="1" customWidth="1"/>
    <col min="5" max="7" width="18.5703125" style="43" customWidth="1"/>
    <col min="8" max="8" width="1" style="43" customWidth="1"/>
    <col min="9" max="9" width="7.85546875" style="44" customWidth="1"/>
    <col min="10" max="10" width="14.28515625" style="43" customWidth="1"/>
    <col min="11" max="14" width="18.42578125" style="43" customWidth="1"/>
    <col min="15" max="16384" width="9.140625" style="43"/>
  </cols>
  <sheetData>
    <row r="1" spans="1:14" ht="15.75" thickBot="1">
      <c r="A1" s="72"/>
      <c r="B1" s="73"/>
      <c r="C1" s="72"/>
      <c r="D1" s="72"/>
      <c r="E1" s="72"/>
      <c r="F1" s="72"/>
      <c r="G1" s="72"/>
      <c r="H1" s="72"/>
      <c r="I1" s="73"/>
      <c r="J1" s="72"/>
      <c r="K1" s="72"/>
      <c r="L1" s="72"/>
      <c r="M1" s="72"/>
      <c r="N1" s="72"/>
    </row>
    <row r="2" spans="1:14" ht="39.75" customHeight="1" thickBot="1">
      <c r="A2" s="72"/>
      <c r="B2" s="285" t="s">
        <v>30</v>
      </c>
      <c r="C2" s="286"/>
      <c r="D2" s="280" t="s">
        <v>54</v>
      </c>
      <c r="E2" s="281"/>
      <c r="F2" s="72"/>
      <c r="G2" s="72"/>
      <c r="H2" s="72"/>
      <c r="I2" s="74"/>
      <c r="J2" s="72"/>
      <c r="K2" s="72"/>
      <c r="L2" s="72"/>
      <c r="M2" s="72"/>
      <c r="N2" s="72"/>
    </row>
    <row r="3" spans="1:14" ht="15.75" thickBot="1">
      <c r="A3" s="72"/>
      <c r="B3" s="73"/>
      <c r="C3" s="72"/>
      <c r="D3" s="72"/>
      <c r="E3" s="72"/>
      <c r="F3" s="72"/>
      <c r="G3" s="72"/>
      <c r="H3" s="72"/>
      <c r="I3" s="73"/>
      <c r="J3" s="72"/>
      <c r="K3" s="72"/>
      <c r="L3" s="72"/>
      <c r="M3" s="72"/>
      <c r="N3" s="72"/>
    </row>
    <row r="4" spans="1:14" s="51" customFormat="1" ht="33" customHeight="1">
      <c r="A4" s="75"/>
      <c r="B4" s="76" t="s">
        <v>24</v>
      </c>
      <c r="C4" s="77" t="s">
        <v>0</v>
      </c>
      <c r="D4" s="78" t="s">
        <v>25</v>
      </c>
      <c r="E4" s="77" t="s">
        <v>26</v>
      </c>
      <c r="F4" s="77" t="s">
        <v>27</v>
      </c>
      <c r="G4" s="77" t="s">
        <v>52</v>
      </c>
      <c r="H4" s="79"/>
      <c r="I4" s="80" t="s">
        <v>24</v>
      </c>
      <c r="J4" s="80" t="s">
        <v>0</v>
      </c>
      <c r="K4" s="77" t="s">
        <v>25</v>
      </c>
      <c r="L4" s="77" t="s">
        <v>26</v>
      </c>
      <c r="M4" s="81" t="s">
        <v>27</v>
      </c>
      <c r="N4" s="81" t="s">
        <v>52</v>
      </c>
    </row>
    <row r="5" spans="1:14" ht="15">
      <c r="A5" s="72"/>
      <c r="B5" s="282">
        <v>1</v>
      </c>
      <c r="C5" s="287" t="s">
        <v>43</v>
      </c>
      <c r="D5" s="222"/>
      <c r="E5" s="202"/>
      <c r="F5" s="222"/>
      <c r="G5" s="222"/>
      <c r="H5" s="83"/>
      <c r="I5" s="277">
        <v>3</v>
      </c>
      <c r="J5" s="279" t="s">
        <v>44</v>
      </c>
      <c r="K5" s="202"/>
      <c r="L5" s="202"/>
      <c r="M5" s="222"/>
      <c r="N5" s="222"/>
    </row>
    <row r="6" spans="1:14" ht="15">
      <c r="A6" s="72"/>
      <c r="B6" s="282"/>
      <c r="C6" s="287"/>
      <c r="D6" s="223"/>
      <c r="E6" s="149"/>
      <c r="F6" s="223"/>
      <c r="G6" s="223"/>
      <c r="H6" s="83"/>
      <c r="I6" s="277"/>
      <c r="J6" s="273"/>
      <c r="K6" s="151"/>
      <c r="L6" s="151"/>
      <c r="M6" s="224"/>
      <c r="N6" s="224"/>
    </row>
    <row r="7" spans="1:14" ht="15">
      <c r="A7" s="72"/>
      <c r="B7" s="282"/>
      <c r="C7" s="287"/>
      <c r="D7" s="222"/>
      <c r="E7" s="202"/>
      <c r="F7" s="222"/>
      <c r="G7" s="222"/>
      <c r="H7" s="83"/>
      <c r="I7" s="277"/>
      <c r="J7" s="273"/>
      <c r="K7" s="202"/>
      <c r="L7" s="202"/>
      <c r="M7" s="222"/>
      <c r="N7" s="222"/>
    </row>
    <row r="8" spans="1:14" ht="15.75" thickBot="1">
      <c r="A8" s="72"/>
      <c r="B8" s="282"/>
      <c r="C8" s="287"/>
      <c r="D8" s="223"/>
      <c r="E8" s="149"/>
      <c r="F8" s="223"/>
      <c r="G8" s="223"/>
      <c r="H8" s="83"/>
      <c r="I8" s="277"/>
      <c r="J8" s="274"/>
      <c r="K8" s="220"/>
      <c r="L8" s="220"/>
      <c r="M8" s="225"/>
      <c r="N8" s="225"/>
    </row>
    <row r="9" spans="1:14" ht="15">
      <c r="A9" s="72"/>
      <c r="B9" s="282">
        <v>2</v>
      </c>
      <c r="C9" s="288" t="s">
        <v>45</v>
      </c>
      <c r="D9" s="202"/>
      <c r="E9" s="202"/>
      <c r="F9" s="222"/>
      <c r="G9" s="222"/>
      <c r="H9" s="83"/>
      <c r="I9" s="277">
        <v>4</v>
      </c>
      <c r="J9" s="275" t="s">
        <v>46</v>
      </c>
      <c r="K9" s="202"/>
      <c r="L9" s="202"/>
      <c r="M9" s="222"/>
      <c r="N9" s="202"/>
    </row>
    <row r="10" spans="1:14" ht="15">
      <c r="A10" s="72"/>
      <c r="B10" s="282"/>
      <c r="C10" s="289"/>
      <c r="D10" s="151"/>
      <c r="E10" s="151"/>
      <c r="F10" s="224"/>
      <c r="G10" s="224"/>
      <c r="H10" s="83"/>
      <c r="I10" s="277"/>
      <c r="J10" s="273"/>
      <c r="K10" s="149"/>
      <c r="L10" s="149"/>
      <c r="M10" s="223"/>
      <c r="N10" s="149"/>
    </row>
    <row r="11" spans="1:14" ht="15">
      <c r="A11" s="72"/>
      <c r="B11" s="282"/>
      <c r="C11" s="289"/>
      <c r="D11" s="202"/>
      <c r="E11" s="202"/>
      <c r="F11" s="222"/>
      <c r="G11" s="222"/>
      <c r="H11" s="83"/>
      <c r="I11" s="277"/>
      <c r="J11" s="273"/>
      <c r="K11" s="202"/>
      <c r="L11" s="202"/>
      <c r="M11" s="222"/>
      <c r="N11" s="202"/>
    </row>
    <row r="12" spans="1:14" ht="15.75" thickBot="1">
      <c r="A12" s="72"/>
      <c r="B12" s="283"/>
      <c r="C12" s="290"/>
      <c r="D12" s="219"/>
      <c r="E12" s="219"/>
      <c r="F12" s="226"/>
      <c r="G12" s="226"/>
      <c r="H12" s="86"/>
      <c r="I12" s="278"/>
      <c r="J12" s="276"/>
      <c r="K12" s="221"/>
      <c r="L12" s="221"/>
      <c r="M12" s="227"/>
      <c r="N12" s="221"/>
    </row>
    <row r="13" spans="1:14" ht="15.75" customHeight="1">
      <c r="A13" s="72"/>
      <c r="B13" s="88">
        <v>5</v>
      </c>
      <c r="C13" s="49" t="s">
        <v>69</v>
      </c>
      <c r="D13" s="150"/>
      <c r="E13" s="150"/>
      <c r="F13" s="150"/>
      <c r="G13" s="150"/>
      <c r="H13" s="89"/>
      <c r="I13" s="90">
        <v>6</v>
      </c>
      <c r="J13" s="53" t="s">
        <v>85</v>
      </c>
      <c r="K13" s="217"/>
      <c r="L13" s="217"/>
      <c r="M13" s="217"/>
      <c r="N13" s="217"/>
    </row>
    <row r="14" spans="1:14" ht="15.75" customHeight="1">
      <c r="A14" s="72"/>
      <c r="B14" s="82">
        <v>7</v>
      </c>
      <c r="C14" s="46" t="s">
        <v>70</v>
      </c>
      <c r="D14" s="55"/>
      <c r="E14" s="55"/>
      <c r="F14" s="55"/>
      <c r="G14" s="55"/>
      <c r="H14" s="83"/>
      <c r="I14" s="84">
        <v>8</v>
      </c>
      <c r="J14" s="52" t="s">
        <v>86</v>
      </c>
      <c r="K14" s="202"/>
      <c r="L14" s="202"/>
      <c r="M14" s="202"/>
      <c r="N14" s="202"/>
    </row>
    <row r="15" spans="1:14" ht="15.75" customHeight="1">
      <c r="A15" s="72"/>
      <c r="B15" s="82">
        <v>9</v>
      </c>
      <c r="C15" s="46" t="s">
        <v>71</v>
      </c>
      <c r="D15" s="55"/>
      <c r="E15" s="55"/>
      <c r="F15" s="55"/>
      <c r="G15" s="55"/>
      <c r="H15" s="83"/>
      <c r="I15" s="84">
        <v>10</v>
      </c>
      <c r="J15" s="52" t="s">
        <v>87</v>
      </c>
      <c r="K15" s="202"/>
      <c r="L15" s="202"/>
      <c r="M15" s="202"/>
      <c r="N15" s="202"/>
    </row>
    <row r="16" spans="1:14" ht="15.75" customHeight="1" thickBot="1">
      <c r="A16" s="72"/>
      <c r="B16" s="85">
        <v>11</v>
      </c>
      <c r="C16" s="50" t="s">
        <v>72</v>
      </c>
      <c r="D16" s="56"/>
      <c r="E16" s="56"/>
      <c r="F16" s="56"/>
      <c r="G16" s="56"/>
      <c r="H16" s="86"/>
      <c r="I16" s="87">
        <v>12</v>
      </c>
      <c r="J16" s="54" t="s">
        <v>88</v>
      </c>
      <c r="K16" s="218"/>
      <c r="L16" s="218"/>
      <c r="M16" s="218"/>
      <c r="N16" s="218"/>
    </row>
    <row r="17" spans="1:14" ht="15.75" customHeight="1">
      <c r="A17" s="72"/>
      <c r="B17" s="88">
        <v>13</v>
      </c>
      <c r="C17" s="49" t="s">
        <v>73</v>
      </c>
      <c r="D17" s="150"/>
      <c r="E17" s="150"/>
      <c r="F17" s="150"/>
      <c r="G17" s="150"/>
      <c r="H17" s="89"/>
      <c r="I17" s="90">
        <v>14</v>
      </c>
      <c r="J17" s="53" t="s">
        <v>89</v>
      </c>
      <c r="K17" s="217"/>
      <c r="L17" s="217"/>
      <c r="M17" s="217"/>
      <c r="N17" s="217"/>
    </row>
    <row r="18" spans="1:14" ht="15.75" customHeight="1">
      <c r="A18" s="72"/>
      <c r="B18" s="82">
        <v>15</v>
      </c>
      <c r="C18" s="46" t="s">
        <v>74</v>
      </c>
      <c r="D18" s="55"/>
      <c r="E18" s="55"/>
      <c r="F18" s="55"/>
      <c r="G18" s="55"/>
      <c r="H18" s="83"/>
      <c r="I18" s="84">
        <v>16</v>
      </c>
      <c r="J18" s="52" t="s">
        <v>90</v>
      </c>
      <c r="K18" s="202"/>
      <c r="L18" s="202"/>
      <c r="M18" s="202"/>
      <c r="N18" s="202"/>
    </row>
    <row r="19" spans="1:14" ht="15.75" customHeight="1">
      <c r="A19" s="72"/>
      <c r="B19" s="82">
        <v>17</v>
      </c>
      <c r="C19" s="46" t="s">
        <v>75</v>
      </c>
      <c r="D19" s="55"/>
      <c r="E19" s="55"/>
      <c r="F19" s="55"/>
      <c r="G19" s="55"/>
      <c r="H19" s="83"/>
      <c r="I19" s="84">
        <v>18</v>
      </c>
      <c r="J19" s="52" t="s">
        <v>91</v>
      </c>
      <c r="K19" s="202"/>
      <c r="L19" s="202"/>
      <c r="M19" s="202"/>
      <c r="N19" s="202"/>
    </row>
    <row r="20" spans="1:14" ht="15.75" customHeight="1" thickBot="1">
      <c r="A20" s="72"/>
      <c r="B20" s="85">
        <v>19</v>
      </c>
      <c r="C20" s="50" t="s">
        <v>76</v>
      </c>
      <c r="D20" s="56"/>
      <c r="E20" s="56"/>
      <c r="F20" s="56"/>
      <c r="G20" s="56"/>
      <c r="H20" s="86"/>
      <c r="I20" s="87">
        <v>20</v>
      </c>
      <c r="J20" s="54" t="s">
        <v>92</v>
      </c>
      <c r="K20" s="218"/>
      <c r="L20" s="218"/>
      <c r="M20" s="218"/>
      <c r="N20" s="218"/>
    </row>
    <row r="21" spans="1:14" ht="15.75" customHeight="1">
      <c r="A21" s="72"/>
      <c r="B21" s="88">
        <v>21</v>
      </c>
      <c r="C21" s="49" t="s">
        <v>77</v>
      </c>
      <c r="D21" s="150"/>
      <c r="E21" s="150"/>
      <c r="F21" s="150"/>
      <c r="G21" s="150"/>
      <c r="H21" s="89"/>
      <c r="I21" s="90">
        <v>22</v>
      </c>
      <c r="J21" s="53" t="s">
        <v>93</v>
      </c>
      <c r="K21" s="217"/>
      <c r="L21" s="217"/>
      <c r="M21" s="217"/>
      <c r="N21" s="217"/>
    </row>
    <row r="22" spans="1:14" ht="15.75" customHeight="1">
      <c r="A22" s="72"/>
      <c r="B22" s="82">
        <v>23</v>
      </c>
      <c r="C22" s="46" t="s">
        <v>78</v>
      </c>
      <c r="D22" s="55"/>
      <c r="E22" s="55"/>
      <c r="F22" s="55"/>
      <c r="G22" s="55"/>
      <c r="H22" s="83"/>
      <c r="I22" s="84">
        <v>24</v>
      </c>
      <c r="J22" s="52" t="s">
        <v>94</v>
      </c>
      <c r="K22" s="202"/>
      <c r="L22" s="202"/>
      <c r="M22" s="202"/>
      <c r="N22" s="202"/>
    </row>
    <row r="23" spans="1:14" ht="15.75" customHeight="1">
      <c r="A23" s="72"/>
      <c r="B23" s="82">
        <v>25</v>
      </c>
      <c r="C23" s="46" t="s">
        <v>79</v>
      </c>
      <c r="D23" s="55"/>
      <c r="E23" s="55"/>
      <c r="F23" s="55"/>
      <c r="G23" s="55"/>
      <c r="H23" s="83"/>
      <c r="I23" s="84">
        <v>26</v>
      </c>
      <c r="J23" s="52" t="s">
        <v>95</v>
      </c>
      <c r="K23" s="202"/>
      <c r="L23" s="202"/>
      <c r="M23" s="202"/>
      <c r="N23" s="202"/>
    </row>
    <row r="24" spans="1:14" ht="15.75" customHeight="1" thickBot="1">
      <c r="A24" s="72"/>
      <c r="B24" s="85">
        <v>27</v>
      </c>
      <c r="C24" s="50" t="s">
        <v>80</v>
      </c>
      <c r="D24" s="56"/>
      <c r="E24" s="56"/>
      <c r="F24" s="56"/>
      <c r="G24" s="56"/>
      <c r="H24" s="86"/>
      <c r="I24" s="87">
        <v>28</v>
      </c>
      <c r="J24" s="54" t="s">
        <v>96</v>
      </c>
      <c r="K24" s="218"/>
      <c r="L24" s="218"/>
      <c r="M24" s="218"/>
      <c r="N24" s="218"/>
    </row>
    <row r="25" spans="1:14" ht="15.75" customHeight="1">
      <c r="A25" s="72"/>
      <c r="B25" s="88">
        <v>29</v>
      </c>
      <c r="C25" s="49" t="s">
        <v>81</v>
      </c>
      <c r="D25" s="150"/>
      <c r="E25" s="150"/>
      <c r="F25" s="150"/>
      <c r="G25" s="150"/>
      <c r="H25" s="89"/>
      <c r="I25" s="90">
        <v>30</v>
      </c>
      <c r="J25" s="53" t="s">
        <v>97</v>
      </c>
      <c r="K25" s="217"/>
      <c r="L25" s="217"/>
      <c r="M25" s="217"/>
      <c r="N25" s="217"/>
    </row>
    <row r="26" spans="1:14" ht="15.75" customHeight="1">
      <c r="A26" s="72"/>
      <c r="B26" s="82">
        <v>31</v>
      </c>
      <c r="C26" s="46" t="s">
        <v>82</v>
      </c>
      <c r="D26" s="55"/>
      <c r="E26" s="55"/>
      <c r="F26" s="55"/>
      <c r="G26" s="55"/>
      <c r="H26" s="83"/>
      <c r="I26" s="84">
        <v>32</v>
      </c>
      <c r="J26" s="52" t="s">
        <v>98</v>
      </c>
      <c r="K26" s="202"/>
      <c r="L26" s="202"/>
      <c r="M26" s="202"/>
      <c r="N26" s="202"/>
    </row>
    <row r="27" spans="1:14" ht="15.75" customHeight="1">
      <c r="A27" s="72"/>
      <c r="B27" s="82">
        <v>33</v>
      </c>
      <c r="C27" s="46" t="s">
        <v>83</v>
      </c>
      <c r="D27" s="55"/>
      <c r="E27" s="55"/>
      <c r="F27" s="55"/>
      <c r="G27" s="55"/>
      <c r="H27" s="83"/>
      <c r="I27" s="84">
        <v>34</v>
      </c>
      <c r="J27" s="52" t="s">
        <v>99</v>
      </c>
      <c r="K27" s="202"/>
      <c r="L27" s="202"/>
      <c r="M27" s="202"/>
      <c r="N27" s="202"/>
    </row>
    <row r="28" spans="1:14" ht="15.75" customHeight="1" thickBot="1">
      <c r="A28" s="72"/>
      <c r="B28" s="85">
        <v>35</v>
      </c>
      <c r="C28" s="50" t="s">
        <v>84</v>
      </c>
      <c r="D28" s="56"/>
      <c r="E28" s="56"/>
      <c r="F28" s="56"/>
      <c r="G28" s="56"/>
      <c r="H28" s="86"/>
      <c r="I28" s="87">
        <v>36</v>
      </c>
      <c r="J28" s="54" t="s">
        <v>100</v>
      </c>
      <c r="K28" s="218"/>
      <c r="L28" s="218"/>
      <c r="M28" s="218"/>
      <c r="N28" s="218"/>
    </row>
    <row r="29" spans="1:14" ht="15">
      <c r="A29" s="72"/>
      <c r="B29" s="284">
        <v>37</v>
      </c>
      <c r="C29" s="289" t="s">
        <v>47</v>
      </c>
      <c r="D29" s="217"/>
      <c r="E29" s="217"/>
      <c r="F29" s="222"/>
      <c r="G29" s="222"/>
      <c r="H29" s="89"/>
      <c r="I29" s="292">
        <v>39</v>
      </c>
      <c r="J29" s="272" t="s">
        <v>48</v>
      </c>
      <c r="K29" s="202"/>
      <c r="L29" s="202"/>
      <c r="M29" s="222"/>
      <c r="N29" s="222"/>
    </row>
    <row r="30" spans="1:14" ht="15">
      <c r="A30" s="72"/>
      <c r="B30" s="282"/>
      <c r="C30" s="289"/>
      <c r="D30" s="149"/>
      <c r="E30" s="149"/>
      <c r="F30" s="223"/>
      <c r="G30" s="223"/>
      <c r="H30" s="83"/>
      <c r="I30" s="277"/>
      <c r="J30" s="273"/>
      <c r="K30" s="151"/>
      <c r="L30" s="151"/>
      <c r="M30" s="224"/>
      <c r="N30" s="224"/>
    </row>
    <row r="31" spans="1:14" ht="15">
      <c r="A31" s="72"/>
      <c r="B31" s="282"/>
      <c r="C31" s="289"/>
      <c r="D31" s="202"/>
      <c r="E31" s="202"/>
      <c r="F31" s="222"/>
      <c r="G31" s="222"/>
      <c r="H31" s="83"/>
      <c r="I31" s="277"/>
      <c r="J31" s="273"/>
      <c r="K31" s="202"/>
      <c r="L31" s="202"/>
      <c r="M31" s="222"/>
      <c r="N31" s="222"/>
    </row>
    <row r="32" spans="1:14" ht="15.75" thickBot="1">
      <c r="A32" s="72"/>
      <c r="B32" s="282"/>
      <c r="C32" s="291"/>
      <c r="D32" s="149"/>
      <c r="E32" s="149"/>
      <c r="F32" s="223"/>
      <c r="G32" s="223"/>
      <c r="H32" s="83"/>
      <c r="I32" s="277"/>
      <c r="J32" s="274"/>
      <c r="K32" s="220"/>
      <c r="L32" s="220"/>
      <c r="M32" s="225"/>
      <c r="N32" s="225"/>
    </row>
    <row r="33" spans="1:14" ht="15">
      <c r="A33" s="72"/>
      <c r="B33" s="282">
        <v>38</v>
      </c>
      <c r="C33" s="288" t="s">
        <v>48</v>
      </c>
      <c r="D33" s="202"/>
      <c r="E33" s="202"/>
      <c r="F33" s="222"/>
      <c r="G33" s="222"/>
      <c r="H33" s="83"/>
      <c r="I33" s="277">
        <v>40</v>
      </c>
      <c r="J33" s="275" t="s">
        <v>50</v>
      </c>
      <c r="K33" s="202"/>
      <c r="L33" s="202"/>
      <c r="M33" s="222"/>
      <c r="N33" s="202"/>
    </row>
    <row r="34" spans="1:14" ht="15">
      <c r="A34" s="72"/>
      <c r="B34" s="282"/>
      <c r="C34" s="289"/>
      <c r="D34" s="151"/>
      <c r="E34" s="151"/>
      <c r="F34" s="224"/>
      <c r="G34" s="224"/>
      <c r="H34" s="83"/>
      <c r="I34" s="277"/>
      <c r="J34" s="273"/>
      <c r="K34" s="149"/>
      <c r="L34" s="149"/>
      <c r="M34" s="223"/>
      <c r="N34" s="149"/>
    </row>
    <row r="35" spans="1:14" ht="15">
      <c r="A35" s="72"/>
      <c r="B35" s="282"/>
      <c r="C35" s="289"/>
      <c r="D35" s="202"/>
      <c r="E35" s="202"/>
      <c r="F35" s="222"/>
      <c r="G35" s="222"/>
      <c r="H35" s="83"/>
      <c r="I35" s="277"/>
      <c r="J35" s="273"/>
      <c r="K35" s="202"/>
      <c r="L35" s="202"/>
      <c r="M35" s="222"/>
      <c r="N35" s="202"/>
    </row>
    <row r="36" spans="1:14" ht="15.75" thickBot="1">
      <c r="A36" s="72"/>
      <c r="B36" s="283"/>
      <c r="C36" s="290"/>
      <c r="D36" s="220"/>
      <c r="E36" s="220"/>
      <c r="F36" s="226"/>
      <c r="G36" s="226"/>
      <c r="H36" s="86"/>
      <c r="I36" s="278"/>
      <c r="J36" s="276"/>
      <c r="K36" s="221"/>
      <c r="L36" s="221"/>
      <c r="M36" s="227"/>
      <c r="N36" s="221"/>
    </row>
  </sheetData>
  <mergeCells count="18">
    <mergeCell ref="D2:E2"/>
    <mergeCell ref="I5:I8"/>
    <mergeCell ref="I9:I12"/>
    <mergeCell ref="B33:B36"/>
    <mergeCell ref="B29:B32"/>
    <mergeCell ref="B5:B8"/>
    <mergeCell ref="B9:B12"/>
    <mergeCell ref="B2:C2"/>
    <mergeCell ref="C5:C8"/>
    <mergeCell ref="C9:C12"/>
    <mergeCell ref="C29:C32"/>
    <mergeCell ref="C33:C36"/>
    <mergeCell ref="I29:I32"/>
    <mergeCell ref="J29:J32"/>
    <mergeCell ref="J33:J36"/>
    <mergeCell ref="I33:I36"/>
    <mergeCell ref="J5:J8"/>
    <mergeCell ref="J9:J12"/>
  </mergeCells>
  <phoneticPr fontId="9" type="noConversion"/>
  <pageMargins left="0.23622047244094491" right="0.23622047244094491" top="0.74803149606299213" bottom="0.74803149606299213" header="0.31496062992125984" footer="0.31496062992125984"/>
  <pageSetup paperSize="9" scale="74" orientation="landscape" r:id="rId1"/>
  <headerFooter alignWithMargins="0">
    <oddHeader>&amp;CLisburn v  Ards</oddHeader>
    <oddFooter>&amp;CPERSONAL AND CONFIDENTIAL</oddFooter>
  </headerFooter>
</worksheet>
</file>

<file path=xl/worksheets/sheet3.xml><?xml version="1.0" encoding="utf-8"?>
<worksheet xmlns="http://schemas.openxmlformats.org/spreadsheetml/2006/main" xmlns:r="http://schemas.openxmlformats.org/officeDocument/2006/relationships">
  <sheetPr>
    <tabColor rgb="FFFFFF00"/>
    <pageSetUpPr fitToPage="1"/>
  </sheetPr>
  <dimension ref="B1:N36"/>
  <sheetViews>
    <sheetView tabSelected="1" topLeftCell="C12" zoomScale="90" zoomScaleNormal="90" workbookViewId="0">
      <selection activeCell="P26" sqref="P26"/>
    </sheetView>
  </sheetViews>
  <sheetFormatPr defaultRowHeight="15"/>
  <cols>
    <col min="1" max="1" width="2.42578125" style="72" customWidth="1"/>
    <col min="2" max="2" width="8" style="73" customWidth="1"/>
    <col min="3" max="3" width="14.28515625" style="72" customWidth="1"/>
    <col min="4" max="7" width="18.5703125" style="72" customWidth="1"/>
    <col min="8" max="8" width="0.5703125" style="72" customWidth="1"/>
    <col min="9" max="9" width="8.28515625" style="73" customWidth="1"/>
    <col min="10" max="10" width="14.140625" style="72" customWidth="1"/>
    <col min="11" max="11" width="17.85546875" style="72" customWidth="1"/>
    <col min="12" max="12" width="19" style="72" customWidth="1"/>
    <col min="13" max="14" width="18.5703125" style="72" customWidth="1"/>
    <col min="15" max="16384" width="9.140625" style="72"/>
  </cols>
  <sheetData>
    <row r="1" spans="2:14" ht="15.75" thickBot="1"/>
    <row r="2" spans="2:14" ht="39.75" customHeight="1" thickBot="1">
      <c r="B2" s="285" t="s">
        <v>29</v>
      </c>
      <c r="C2" s="286"/>
      <c r="D2" s="299" t="s">
        <v>123</v>
      </c>
      <c r="E2" s="300"/>
      <c r="I2" s="74"/>
    </row>
    <row r="3" spans="2:14" ht="15.75" thickBot="1"/>
    <row r="4" spans="2:14" s="75" customFormat="1" ht="32.25" thickBot="1">
      <c r="B4" s="76" t="s">
        <v>24</v>
      </c>
      <c r="C4" s="77" t="s">
        <v>0</v>
      </c>
      <c r="D4" s="78" t="s">
        <v>31</v>
      </c>
      <c r="E4" s="77" t="s">
        <v>32</v>
      </c>
      <c r="F4" s="77" t="s">
        <v>33</v>
      </c>
      <c r="G4" s="77" t="s">
        <v>51</v>
      </c>
      <c r="H4" s="79"/>
      <c r="I4" s="80" t="s">
        <v>24</v>
      </c>
      <c r="J4" s="80" t="s">
        <v>0</v>
      </c>
      <c r="K4" s="77" t="s">
        <v>31</v>
      </c>
      <c r="L4" s="77" t="s">
        <v>32</v>
      </c>
      <c r="M4" s="77" t="s">
        <v>33</v>
      </c>
      <c r="N4" s="95" t="s">
        <v>51</v>
      </c>
    </row>
    <row r="5" spans="2:14">
      <c r="B5" s="294">
        <v>1</v>
      </c>
      <c r="C5" s="287" t="s">
        <v>43</v>
      </c>
      <c r="D5" s="240" t="s">
        <v>124</v>
      </c>
      <c r="E5" s="231" t="s">
        <v>125</v>
      </c>
      <c r="F5" s="239" t="s">
        <v>126</v>
      </c>
      <c r="G5" s="239" t="s">
        <v>127</v>
      </c>
      <c r="H5" s="96"/>
      <c r="I5" s="295">
        <v>2</v>
      </c>
      <c r="J5" s="288" t="s">
        <v>44</v>
      </c>
      <c r="K5" s="271" t="s">
        <v>160</v>
      </c>
      <c r="L5" s="261" t="s">
        <v>152</v>
      </c>
      <c r="M5" s="270" t="s">
        <v>150</v>
      </c>
      <c r="N5" s="270" t="s">
        <v>134</v>
      </c>
    </row>
    <row r="6" spans="2:14">
      <c r="B6" s="294"/>
      <c r="C6" s="287"/>
      <c r="D6" s="238" t="s">
        <v>128</v>
      </c>
      <c r="E6" s="237" t="s">
        <v>129</v>
      </c>
      <c r="F6" s="236" t="s">
        <v>130</v>
      </c>
      <c r="G6" s="268" t="s">
        <v>165</v>
      </c>
      <c r="H6" s="96"/>
      <c r="I6" s="295"/>
      <c r="J6" s="289"/>
      <c r="K6" s="269" t="s">
        <v>166</v>
      </c>
      <c r="L6" s="265" t="s">
        <v>153</v>
      </c>
      <c r="M6" s="268" t="s">
        <v>124</v>
      </c>
      <c r="N6" s="268" t="s">
        <v>179</v>
      </c>
    </row>
    <row r="7" spans="2:14">
      <c r="B7" s="294"/>
      <c r="C7" s="287"/>
      <c r="D7" s="238" t="s">
        <v>131</v>
      </c>
      <c r="E7" s="237" t="s">
        <v>132</v>
      </c>
      <c r="F7" s="236" t="s">
        <v>133</v>
      </c>
      <c r="G7" s="236" t="s">
        <v>134</v>
      </c>
      <c r="H7" s="96"/>
      <c r="I7" s="295"/>
      <c r="J7" s="289"/>
      <c r="K7" s="269" t="s">
        <v>168</v>
      </c>
      <c r="L7" s="265" t="s">
        <v>169</v>
      </c>
      <c r="M7" s="268" t="s">
        <v>170</v>
      </c>
      <c r="N7" s="268" t="s">
        <v>145</v>
      </c>
    </row>
    <row r="8" spans="2:14" ht="15.75" thickBot="1">
      <c r="B8" s="294"/>
      <c r="C8" s="287"/>
      <c r="D8" s="235" t="s">
        <v>135</v>
      </c>
      <c r="E8" s="234" t="s">
        <v>136</v>
      </c>
      <c r="F8" s="233" t="s">
        <v>137</v>
      </c>
      <c r="G8" s="233" t="s">
        <v>138</v>
      </c>
      <c r="H8" s="96"/>
      <c r="I8" s="295"/>
      <c r="J8" s="291"/>
      <c r="K8" s="264" t="s">
        <v>154</v>
      </c>
      <c r="L8" s="263" t="s">
        <v>167</v>
      </c>
      <c r="M8" s="262"/>
      <c r="N8" s="266"/>
    </row>
    <row r="9" spans="2:14">
      <c r="B9" s="294">
        <v>3</v>
      </c>
      <c r="C9" s="288" t="s">
        <v>45</v>
      </c>
      <c r="D9" s="240" t="s">
        <v>139</v>
      </c>
      <c r="E9" s="230" t="s">
        <v>140</v>
      </c>
      <c r="F9" s="239" t="s">
        <v>141</v>
      </c>
      <c r="G9" s="239" t="s">
        <v>142</v>
      </c>
      <c r="H9" s="96"/>
      <c r="I9" s="295">
        <v>4</v>
      </c>
      <c r="J9" s="288" t="s">
        <v>46</v>
      </c>
      <c r="K9" s="261" t="s">
        <v>158</v>
      </c>
      <c r="L9" s="261" t="s">
        <v>157</v>
      </c>
      <c r="M9" s="261" t="s">
        <v>168</v>
      </c>
      <c r="N9" s="261" t="s">
        <v>163</v>
      </c>
    </row>
    <row r="10" spans="2:14">
      <c r="B10" s="294"/>
      <c r="C10" s="289"/>
      <c r="D10" s="238" t="s">
        <v>143</v>
      </c>
      <c r="E10" s="232" t="s">
        <v>144</v>
      </c>
      <c r="F10" s="236" t="s">
        <v>145</v>
      </c>
      <c r="G10" s="236"/>
      <c r="H10" s="96"/>
      <c r="I10" s="295"/>
      <c r="J10" s="289"/>
      <c r="K10" s="265" t="s">
        <v>161</v>
      </c>
      <c r="L10" s="265" t="s">
        <v>176</v>
      </c>
      <c r="M10" s="265" t="s">
        <v>180</v>
      </c>
      <c r="N10" s="265" t="s">
        <v>174</v>
      </c>
    </row>
    <row r="11" spans="2:14">
      <c r="B11" s="294"/>
      <c r="C11" s="289"/>
      <c r="D11" s="238" t="s">
        <v>146</v>
      </c>
      <c r="E11" s="232" t="s">
        <v>147</v>
      </c>
      <c r="F11" s="268" t="s">
        <v>177</v>
      </c>
      <c r="G11" s="268" t="s">
        <v>180</v>
      </c>
      <c r="H11" s="96"/>
      <c r="I11" s="295"/>
      <c r="J11" s="289"/>
      <c r="K11" s="265" t="s">
        <v>172</v>
      </c>
      <c r="L11" s="265" t="s">
        <v>156</v>
      </c>
      <c r="M11" s="265" t="s">
        <v>159</v>
      </c>
      <c r="N11" s="265"/>
    </row>
    <row r="12" spans="2:14" ht="15.75" thickBot="1">
      <c r="B12" s="297"/>
      <c r="C12" s="290"/>
      <c r="D12" s="235" t="s">
        <v>148</v>
      </c>
      <c r="E12" s="234" t="s">
        <v>149</v>
      </c>
      <c r="F12" s="233" t="s">
        <v>150</v>
      </c>
      <c r="G12" s="233" t="s">
        <v>151</v>
      </c>
      <c r="H12" s="97"/>
      <c r="I12" s="296"/>
      <c r="J12" s="290"/>
      <c r="K12" s="267" t="s">
        <v>175</v>
      </c>
      <c r="L12" s="267" t="s">
        <v>173</v>
      </c>
      <c r="M12" s="267" t="s">
        <v>177</v>
      </c>
      <c r="N12" s="267" t="s">
        <v>141</v>
      </c>
    </row>
    <row r="13" spans="2:14" ht="15.75" customHeight="1">
      <c r="B13" s="48">
        <v>5</v>
      </c>
      <c r="C13" s="157" t="s">
        <v>69</v>
      </c>
      <c r="D13" s="241" t="s">
        <v>131</v>
      </c>
      <c r="E13" s="242" t="s">
        <v>132</v>
      </c>
      <c r="F13" s="241" t="s">
        <v>124</v>
      </c>
      <c r="G13" s="241" t="s">
        <v>133</v>
      </c>
      <c r="H13" s="98"/>
      <c r="I13" s="49">
        <v>6</v>
      </c>
      <c r="J13" s="53" t="s">
        <v>85</v>
      </c>
      <c r="K13" s="258" t="s">
        <v>129</v>
      </c>
      <c r="L13" s="258" t="s">
        <v>125</v>
      </c>
      <c r="M13" s="257" t="s">
        <v>130</v>
      </c>
      <c r="N13" s="257" t="s">
        <v>127</v>
      </c>
    </row>
    <row r="14" spans="2:14" ht="15.75" customHeight="1">
      <c r="B14" s="45">
        <v>7</v>
      </c>
      <c r="C14" s="155" t="s">
        <v>70</v>
      </c>
      <c r="D14" s="243" t="s">
        <v>152</v>
      </c>
      <c r="E14" s="243" t="s">
        <v>153</v>
      </c>
      <c r="F14" s="243" t="s">
        <v>154</v>
      </c>
      <c r="G14" s="265" t="s">
        <v>197</v>
      </c>
      <c r="H14" s="96"/>
      <c r="I14" s="46">
        <v>8</v>
      </c>
      <c r="J14" s="52" t="s">
        <v>86</v>
      </c>
      <c r="K14" s="259" t="s">
        <v>167</v>
      </c>
      <c r="L14" s="259" t="s">
        <v>169</v>
      </c>
      <c r="M14" s="259" t="s">
        <v>170</v>
      </c>
      <c r="N14" s="259" t="s">
        <v>166</v>
      </c>
    </row>
    <row r="15" spans="2:14" ht="15.75" customHeight="1">
      <c r="B15" s="45">
        <v>9</v>
      </c>
      <c r="C15" s="155" t="s">
        <v>71</v>
      </c>
      <c r="D15" s="243" t="s">
        <v>144</v>
      </c>
      <c r="E15" s="243" t="s">
        <v>147</v>
      </c>
      <c r="F15" s="243" t="s">
        <v>155</v>
      </c>
      <c r="G15" s="243" t="s">
        <v>142</v>
      </c>
      <c r="H15" s="96"/>
      <c r="I15" s="46">
        <v>10</v>
      </c>
      <c r="J15" s="52" t="s">
        <v>87</v>
      </c>
      <c r="K15" s="259" t="s">
        <v>140</v>
      </c>
      <c r="L15" s="259" t="s">
        <v>149</v>
      </c>
      <c r="M15" s="259" t="s">
        <v>143</v>
      </c>
      <c r="N15" s="259" t="s">
        <v>177</v>
      </c>
    </row>
    <row r="16" spans="2:14" ht="15.75" customHeight="1" thickBot="1">
      <c r="B16" s="47">
        <v>11</v>
      </c>
      <c r="C16" s="156" t="s">
        <v>72</v>
      </c>
      <c r="D16" s="244" t="s">
        <v>156</v>
      </c>
      <c r="E16" s="244" t="s">
        <v>157</v>
      </c>
      <c r="F16" s="244" t="s">
        <v>158</v>
      </c>
      <c r="G16" s="244" t="s">
        <v>159</v>
      </c>
      <c r="H16" s="97"/>
      <c r="I16" s="50">
        <v>12</v>
      </c>
      <c r="J16" s="54" t="s">
        <v>88</v>
      </c>
      <c r="K16" s="260" t="s">
        <v>176</v>
      </c>
      <c r="L16" s="260" t="s">
        <v>173</v>
      </c>
      <c r="M16" s="260" t="s">
        <v>175</v>
      </c>
      <c r="N16" s="260" t="s">
        <v>172</v>
      </c>
    </row>
    <row r="17" spans="2:14" ht="15.75" customHeight="1">
      <c r="B17" s="48">
        <v>13</v>
      </c>
      <c r="C17" s="157" t="s">
        <v>73</v>
      </c>
      <c r="D17" s="241" t="s">
        <v>136</v>
      </c>
      <c r="E17" s="242" t="s">
        <v>132</v>
      </c>
      <c r="F17" s="261" t="s">
        <v>133</v>
      </c>
      <c r="G17" s="241" t="s">
        <v>124</v>
      </c>
      <c r="H17" s="98"/>
      <c r="I17" s="49">
        <v>14</v>
      </c>
      <c r="J17" s="53" t="s">
        <v>89</v>
      </c>
      <c r="K17" s="257" t="s">
        <v>128</v>
      </c>
      <c r="L17" s="258" t="s">
        <v>129</v>
      </c>
      <c r="M17" s="257" t="s">
        <v>130</v>
      </c>
      <c r="N17" s="257" t="s">
        <v>138</v>
      </c>
    </row>
    <row r="18" spans="2:14" ht="15.75" customHeight="1">
      <c r="B18" s="45">
        <v>15</v>
      </c>
      <c r="C18" s="155" t="s">
        <v>74</v>
      </c>
      <c r="D18" s="243" t="s">
        <v>160</v>
      </c>
      <c r="E18" s="243" t="s">
        <v>153</v>
      </c>
      <c r="F18" s="265" t="s">
        <v>152</v>
      </c>
      <c r="G18" s="243" t="s">
        <v>154</v>
      </c>
      <c r="H18" s="96"/>
      <c r="I18" s="46">
        <v>16</v>
      </c>
      <c r="J18" s="52" t="s">
        <v>90</v>
      </c>
      <c r="K18" s="259" t="s">
        <v>167</v>
      </c>
      <c r="L18" s="259" t="s">
        <v>169</v>
      </c>
      <c r="M18" s="259" t="s">
        <v>150</v>
      </c>
      <c r="N18" s="265" t="s">
        <v>170</v>
      </c>
    </row>
    <row r="19" spans="2:14" ht="15.75" customHeight="1">
      <c r="B19" s="45">
        <v>17</v>
      </c>
      <c r="C19" s="155" t="s">
        <v>75</v>
      </c>
      <c r="D19" s="243" t="s">
        <v>148</v>
      </c>
      <c r="E19" s="243" t="s">
        <v>144</v>
      </c>
      <c r="F19" s="243" t="s">
        <v>145</v>
      </c>
      <c r="G19" s="243" t="s">
        <v>151</v>
      </c>
      <c r="H19" s="96"/>
      <c r="I19" s="46">
        <v>18</v>
      </c>
      <c r="J19" s="52" t="s">
        <v>91</v>
      </c>
      <c r="K19" s="259" t="s">
        <v>143</v>
      </c>
      <c r="L19" s="259" t="s">
        <v>149</v>
      </c>
      <c r="M19" s="259" t="s">
        <v>146</v>
      </c>
      <c r="N19" s="265" t="s">
        <v>140</v>
      </c>
    </row>
    <row r="20" spans="2:14" ht="15.75" customHeight="1" thickBot="1">
      <c r="B20" s="47">
        <v>19</v>
      </c>
      <c r="C20" s="156" t="s">
        <v>76</v>
      </c>
      <c r="D20" s="244" t="s">
        <v>159</v>
      </c>
      <c r="E20" s="244" t="s">
        <v>161</v>
      </c>
      <c r="F20" s="244" t="s">
        <v>162</v>
      </c>
      <c r="G20" s="244" t="s">
        <v>163</v>
      </c>
      <c r="H20" s="97"/>
      <c r="I20" s="50">
        <v>20</v>
      </c>
      <c r="J20" s="54" t="s">
        <v>92</v>
      </c>
      <c r="K20" s="260" t="s">
        <v>175</v>
      </c>
      <c r="L20" s="260" t="s">
        <v>176</v>
      </c>
      <c r="M20" s="260" t="s">
        <v>172</v>
      </c>
      <c r="N20" s="260" t="s">
        <v>173</v>
      </c>
    </row>
    <row r="21" spans="2:14" ht="15.75" customHeight="1">
      <c r="B21" s="48">
        <v>21</v>
      </c>
      <c r="C21" s="157" t="s">
        <v>77</v>
      </c>
      <c r="D21" s="241" t="s">
        <v>136</v>
      </c>
      <c r="E21" s="242" t="s">
        <v>132</v>
      </c>
      <c r="F21" s="241" t="s">
        <v>131</v>
      </c>
      <c r="G21" s="241" t="s">
        <v>126</v>
      </c>
      <c r="H21" s="98"/>
      <c r="I21" s="49">
        <v>22</v>
      </c>
      <c r="J21" s="53" t="s">
        <v>93</v>
      </c>
      <c r="K21" s="257" t="s">
        <v>178</v>
      </c>
      <c r="L21" s="258" t="s">
        <v>125</v>
      </c>
      <c r="M21" s="258" t="s">
        <v>135</v>
      </c>
      <c r="N21" s="258" t="s">
        <v>134</v>
      </c>
    </row>
    <row r="22" spans="2:14" ht="15.75" customHeight="1">
      <c r="B22" s="45">
        <v>23</v>
      </c>
      <c r="C22" s="155" t="s">
        <v>78</v>
      </c>
      <c r="D22" s="243" t="s">
        <v>160</v>
      </c>
      <c r="E22" s="243" t="s">
        <v>153</v>
      </c>
      <c r="F22" s="243" t="s">
        <v>154</v>
      </c>
      <c r="G22" s="243" t="s">
        <v>152</v>
      </c>
      <c r="H22" s="96"/>
      <c r="I22" s="46">
        <v>24</v>
      </c>
      <c r="J22" s="52" t="s">
        <v>94</v>
      </c>
      <c r="K22" s="259" t="s">
        <v>167</v>
      </c>
      <c r="L22" s="259" t="s">
        <v>169</v>
      </c>
      <c r="M22" s="265" t="s">
        <v>168</v>
      </c>
      <c r="N22" s="265" t="s">
        <v>150</v>
      </c>
    </row>
    <row r="23" spans="2:14" ht="15.75" customHeight="1">
      <c r="B23" s="45">
        <v>25</v>
      </c>
      <c r="C23" s="155" t="s">
        <v>79</v>
      </c>
      <c r="D23" s="243" t="s">
        <v>144</v>
      </c>
      <c r="E23" s="243" t="s">
        <v>147</v>
      </c>
      <c r="F23" s="265" t="s">
        <v>148</v>
      </c>
      <c r="G23" s="243" t="s">
        <v>141</v>
      </c>
      <c r="H23" s="96"/>
      <c r="I23" s="46">
        <v>26</v>
      </c>
      <c r="J23" s="52" t="s">
        <v>95</v>
      </c>
      <c r="K23" s="265" t="s">
        <v>140</v>
      </c>
      <c r="L23" s="259" t="s">
        <v>149</v>
      </c>
      <c r="M23" s="265" t="s">
        <v>146</v>
      </c>
      <c r="N23" s="259" t="s">
        <v>142</v>
      </c>
    </row>
    <row r="24" spans="2:14" ht="15.75" customHeight="1" thickBot="1">
      <c r="B24" s="47">
        <v>27</v>
      </c>
      <c r="C24" s="156" t="s">
        <v>80</v>
      </c>
      <c r="D24" s="244" t="s">
        <v>157</v>
      </c>
      <c r="E24" s="244" t="s">
        <v>156</v>
      </c>
      <c r="F24" s="244" t="s">
        <v>164</v>
      </c>
      <c r="G24" s="244" t="s">
        <v>161</v>
      </c>
      <c r="H24" s="97"/>
      <c r="I24" s="50">
        <v>28</v>
      </c>
      <c r="J24" s="54" t="s">
        <v>96</v>
      </c>
      <c r="K24" s="260" t="s">
        <v>172</v>
      </c>
      <c r="L24" s="260" t="s">
        <v>176</v>
      </c>
      <c r="M24" s="260" t="s">
        <v>175</v>
      </c>
      <c r="N24" s="260" t="s">
        <v>173</v>
      </c>
    </row>
    <row r="25" spans="2:14" ht="15.75" customHeight="1">
      <c r="B25" s="48">
        <v>29</v>
      </c>
      <c r="C25" s="157" t="s">
        <v>81</v>
      </c>
      <c r="D25" s="241" t="s">
        <v>136</v>
      </c>
      <c r="E25" s="242" t="s">
        <v>132</v>
      </c>
      <c r="F25" s="241" t="s">
        <v>131</v>
      </c>
      <c r="G25" s="241" t="s">
        <v>126</v>
      </c>
      <c r="H25" s="98"/>
      <c r="I25" s="49">
        <v>30</v>
      </c>
      <c r="J25" s="53" t="s">
        <v>97</v>
      </c>
      <c r="K25" s="257" t="s">
        <v>130</v>
      </c>
      <c r="L25" s="258" t="s">
        <v>125</v>
      </c>
      <c r="M25" s="257" t="s">
        <v>137</v>
      </c>
      <c r="N25" s="257" t="s">
        <v>179</v>
      </c>
    </row>
    <row r="26" spans="2:14" ht="15.75" customHeight="1">
      <c r="B26" s="45">
        <v>31</v>
      </c>
      <c r="C26" s="155" t="s">
        <v>82</v>
      </c>
      <c r="D26" s="243" t="s">
        <v>160</v>
      </c>
      <c r="E26" s="243" t="s">
        <v>153</v>
      </c>
      <c r="F26" s="243" t="s">
        <v>152</v>
      </c>
      <c r="G26" s="265" t="s">
        <v>154</v>
      </c>
      <c r="H26" s="96"/>
      <c r="I26" s="46">
        <v>32</v>
      </c>
      <c r="J26" s="52" t="s">
        <v>98</v>
      </c>
      <c r="K26" s="259" t="s">
        <v>167</v>
      </c>
      <c r="L26" s="259" t="s">
        <v>169</v>
      </c>
      <c r="M26" s="259" t="s">
        <v>166</v>
      </c>
      <c r="N26" s="265" t="s">
        <v>168</v>
      </c>
    </row>
    <row r="27" spans="2:14" ht="15.75" customHeight="1">
      <c r="B27" s="45">
        <v>33</v>
      </c>
      <c r="C27" s="155" t="s">
        <v>83</v>
      </c>
      <c r="D27" s="243" t="s">
        <v>148</v>
      </c>
      <c r="E27" s="243" t="s">
        <v>147</v>
      </c>
      <c r="F27" s="243" t="s">
        <v>155</v>
      </c>
      <c r="G27" s="243"/>
      <c r="H27" s="96"/>
      <c r="I27" s="46">
        <v>34</v>
      </c>
      <c r="J27" s="52" t="s">
        <v>99</v>
      </c>
      <c r="K27" s="259" t="s">
        <v>140</v>
      </c>
      <c r="L27" s="259" t="s">
        <v>149</v>
      </c>
      <c r="M27" s="259" t="s">
        <v>146</v>
      </c>
      <c r="N27" s="259" t="s">
        <v>177</v>
      </c>
    </row>
    <row r="28" spans="2:14" ht="15.75" customHeight="1" thickBot="1">
      <c r="B28" s="47">
        <v>35</v>
      </c>
      <c r="C28" s="156" t="s">
        <v>84</v>
      </c>
      <c r="D28" s="244" t="s">
        <v>157</v>
      </c>
      <c r="E28" s="244" t="s">
        <v>156</v>
      </c>
      <c r="F28" s="244" t="s">
        <v>163</v>
      </c>
      <c r="G28" s="244" t="s">
        <v>158</v>
      </c>
      <c r="H28" s="97"/>
      <c r="I28" s="50">
        <v>36</v>
      </c>
      <c r="J28" s="54" t="s">
        <v>100</v>
      </c>
      <c r="K28" s="260" t="s">
        <v>173</v>
      </c>
      <c r="L28" s="260" t="s">
        <v>176</v>
      </c>
      <c r="M28" s="260" t="s">
        <v>175</v>
      </c>
      <c r="N28" s="260" t="s">
        <v>172</v>
      </c>
    </row>
    <row r="29" spans="2:14">
      <c r="B29" s="293">
        <v>37</v>
      </c>
      <c r="C29" s="289" t="s">
        <v>47</v>
      </c>
      <c r="D29" s="245" t="s">
        <v>135</v>
      </c>
      <c r="E29" s="246" t="s">
        <v>132</v>
      </c>
      <c r="F29" s="245" t="s">
        <v>129</v>
      </c>
      <c r="G29" s="245" t="s">
        <v>128</v>
      </c>
      <c r="H29" s="98"/>
      <c r="I29" s="298">
        <v>38</v>
      </c>
      <c r="J29" s="289" t="s">
        <v>48</v>
      </c>
      <c r="K29" s="251" t="s">
        <v>154</v>
      </c>
      <c r="L29" s="252" t="s">
        <v>153</v>
      </c>
      <c r="M29" s="261" t="s">
        <v>168</v>
      </c>
      <c r="N29" s="251" t="s">
        <v>141</v>
      </c>
    </row>
    <row r="30" spans="2:14">
      <c r="B30" s="294"/>
      <c r="C30" s="289"/>
      <c r="D30" s="247" t="s">
        <v>131</v>
      </c>
      <c r="E30" s="247" t="s">
        <v>125</v>
      </c>
      <c r="F30" s="265" t="s">
        <v>133</v>
      </c>
      <c r="G30" s="265" t="s">
        <v>168</v>
      </c>
      <c r="H30" s="96"/>
      <c r="I30" s="295"/>
      <c r="J30" s="289"/>
      <c r="K30" s="253" t="s">
        <v>166</v>
      </c>
      <c r="L30" s="253" t="s">
        <v>167</v>
      </c>
      <c r="M30" s="253" t="s">
        <v>142</v>
      </c>
      <c r="N30" s="253" t="s">
        <v>151</v>
      </c>
    </row>
    <row r="31" spans="2:14">
      <c r="B31" s="294"/>
      <c r="C31" s="289"/>
      <c r="D31" s="247" t="s">
        <v>124</v>
      </c>
      <c r="E31" s="249" t="s">
        <v>130</v>
      </c>
      <c r="F31" s="247" t="s">
        <v>126</v>
      </c>
      <c r="G31" s="247" t="s">
        <v>134</v>
      </c>
      <c r="H31" s="96"/>
      <c r="I31" s="295"/>
      <c r="J31" s="289"/>
      <c r="K31" s="253" t="s">
        <v>152</v>
      </c>
      <c r="L31" s="255" t="s">
        <v>160</v>
      </c>
      <c r="M31" s="253"/>
      <c r="N31" s="265" t="s">
        <v>145</v>
      </c>
    </row>
    <row r="32" spans="2:14" ht="15.75" thickBot="1">
      <c r="B32" s="294"/>
      <c r="C32" s="291"/>
      <c r="D32" s="250" t="s">
        <v>137</v>
      </c>
      <c r="E32" s="248" t="s">
        <v>136</v>
      </c>
      <c r="F32" s="248" t="s">
        <v>165</v>
      </c>
      <c r="G32" s="248" t="s">
        <v>138</v>
      </c>
      <c r="H32" s="96"/>
      <c r="I32" s="295"/>
      <c r="J32" s="291"/>
      <c r="K32" s="256" t="s">
        <v>150</v>
      </c>
      <c r="L32" s="254" t="s">
        <v>169</v>
      </c>
      <c r="M32" s="254" t="s">
        <v>170</v>
      </c>
      <c r="N32" s="267" t="s">
        <v>174</v>
      </c>
    </row>
    <row r="33" spans="2:14">
      <c r="B33" s="294">
        <v>39</v>
      </c>
      <c r="C33" s="288" t="s">
        <v>49</v>
      </c>
      <c r="D33" s="245" t="s">
        <v>144</v>
      </c>
      <c r="E33" s="245" t="s">
        <v>147</v>
      </c>
      <c r="F33" s="245" t="s">
        <v>155</v>
      </c>
      <c r="G33" s="245" t="s">
        <v>151</v>
      </c>
      <c r="H33" s="96"/>
      <c r="I33" s="295">
        <v>40</v>
      </c>
      <c r="J33" s="288" t="s">
        <v>50</v>
      </c>
      <c r="K33" s="251" t="s">
        <v>159</v>
      </c>
      <c r="L33" s="251" t="s">
        <v>157</v>
      </c>
      <c r="M33" s="251" t="s">
        <v>150</v>
      </c>
      <c r="N33" s="251" t="s">
        <v>171</v>
      </c>
    </row>
    <row r="34" spans="2:14">
      <c r="B34" s="294"/>
      <c r="C34" s="289"/>
      <c r="D34" s="247" t="s">
        <v>141</v>
      </c>
      <c r="E34" s="247" t="s">
        <v>148</v>
      </c>
      <c r="F34" s="265" t="s">
        <v>170</v>
      </c>
      <c r="G34" s="247" t="s">
        <v>145</v>
      </c>
      <c r="H34" s="96"/>
      <c r="I34" s="295"/>
      <c r="J34" s="289"/>
      <c r="K34" s="253" t="s">
        <v>172</v>
      </c>
      <c r="L34" s="253" t="s">
        <v>173</v>
      </c>
      <c r="M34" s="253" t="s">
        <v>161</v>
      </c>
      <c r="N34" s="253" t="s">
        <v>174</v>
      </c>
    </row>
    <row r="35" spans="2:14">
      <c r="B35" s="294"/>
      <c r="C35" s="289"/>
      <c r="D35" s="247" t="s">
        <v>143</v>
      </c>
      <c r="E35" s="247" t="s">
        <v>140</v>
      </c>
      <c r="F35" s="265" t="s">
        <v>151</v>
      </c>
      <c r="G35" s="247" t="s">
        <v>142</v>
      </c>
      <c r="H35" s="96"/>
      <c r="I35" s="295"/>
      <c r="J35" s="289"/>
      <c r="K35" s="253" t="s">
        <v>158</v>
      </c>
      <c r="L35" s="253" t="s">
        <v>156</v>
      </c>
      <c r="M35" s="253" t="s">
        <v>163</v>
      </c>
      <c r="N35" s="253" t="s">
        <v>145</v>
      </c>
    </row>
    <row r="36" spans="2:14" ht="15.75" thickBot="1">
      <c r="B36" s="297"/>
      <c r="C36" s="290"/>
      <c r="D36" s="248" t="s">
        <v>146</v>
      </c>
      <c r="E36" s="248" t="s">
        <v>149</v>
      </c>
      <c r="F36" s="248" t="s">
        <v>143</v>
      </c>
      <c r="G36" s="248"/>
      <c r="H36" s="97"/>
      <c r="I36" s="296"/>
      <c r="J36" s="290"/>
      <c r="K36" s="254" t="s">
        <v>175</v>
      </c>
      <c r="L36" s="254" t="s">
        <v>176</v>
      </c>
      <c r="M36" s="254" t="s">
        <v>177</v>
      </c>
      <c r="N36" s="254" t="s">
        <v>151</v>
      </c>
    </row>
  </sheetData>
  <mergeCells count="18">
    <mergeCell ref="B2:C2"/>
    <mergeCell ref="C5:C8"/>
    <mergeCell ref="C9:C12"/>
    <mergeCell ref="J5:J8"/>
    <mergeCell ref="J9:J12"/>
    <mergeCell ref="D2:E2"/>
    <mergeCell ref="I5:I8"/>
    <mergeCell ref="I9:I12"/>
    <mergeCell ref="B5:B8"/>
    <mergeCell ref="B9:B12"/>
    <mergeCell ref="C29:C32"/>
    <mergeCell ref="B29:B32"/>
    <mergeCell ref="C33:C36"/>
    <mergeCell ref="J29:J32"/>
    <mergeCell ref="J33:J36"/>
    <mergeCell ref="I33:I36"/>
    <mergeCell ref="B33:B36"/>
    <mergeCell ref="I29:I32"/>
  </mergeCells>
  <phoneticPr fontId="9" type="noConversion"/>
  <pageMargins left="0.43307086614173229" right="0.23622047244094491" top="0.35433070866141736" bottom="0.35433070866141736" header="0.11811023622047245" footer="0.11811023622047245"/>
  <pageSetup paperSize="9" scale="72" orientation="landscape"/>
  <headerFooter alignWithMargins="0">
    <oddHeader>&amp;CLisburn  v  Ards</oddHeader>
    <oddFooter>&amp;CPERSONAL AND CONFIDENTIAL</oddFooter>
  </headerFooter>
</worksheet>
</file>

<file path=xl/worksheets/sheet4.xml><?xml version="1.0" encoding="utf-8"?>
<worksheet xmlns="http://schemas.openxmlformats.org/spreadsheetml/2006/main" xmlns:r="http://schemas.openxmlformats.org/officeDocument/2006/relationships">
  <sheetPr>
    <pageSetUpPr fitToPage="1"/>
  </sheetPr>
  <dimension ref="B1:Q46"/>
  <sheetViews>
    <sheetView zoomScale="90" zoomScaleNormal="90" workbookViewId="0">
      <selection activeCell="B30" sqref="B30:O30"/>
    </sheetView>
  </sheetViews>
  <sheetFormatPr defaultRowHeight="15"/>
  <cols>
    <col min="1" max="1" width="2.42578125" style="72" customWidth="1"/>
    <col min="2" max="2" width="4.28515625" style="73" customWidth="1"/>
    <col min="3" max="3" width="14.28515625" style="72" customWidth="1"/>
    <col min="4" max="4" width="20" style="72" bestFit="1" customWidth="1"/>
    <col min="5" max="7" width="16.7109375" style="72" customWidth="1"/>
    <col min="8" max="8" width="3.42578125" style="176" customWidth="1"/>
    <col min="9" max="9" width="3.7109375" style="176" customWidth="1"/>
    <col min="10" max="10" width="4.28515625" style="73" customWidth="1"/>
    <col min="11" max="11" width="14.140625" style="72" customWidth="1"/>
    <col min="12" max="15" width="16.7109375" style="72" customWidth="1"/>
    <col min="16" max="16" width="3.42578125" style="176" customWidth="1"/>
    <col min="17" max="17" width="3.7109375" style="176" customWidth="1"/>
    <col min="18" max="16384" width="9.140625" style="72"/>
  </cols>
  <sheetData>
    <row r="1" spans="2:17" ht="15.75" thickBot="1">
      <c r="B1" s="325" t="s">
        <v>119</v>
      </c>
      <c r="C1" s="326"/>
      <c r="D1" s="327" t="str">
        <f>HomeTeam!D2</f>
        <v>Lisburn</v>
      </c>
      <c r="E1" s="328"/>
      <c r="G1" s="176"/>
      <c r="J1" s="178"/>
      <c r="K1" s="176"/>
    </row>
    <row r="2" spans="2:17" ht="15.75" thickBot="1">
      <c r="G2" s="176"/>
      <c r="J2" s="177"/>
      <c r="K2" s="176"/>
    </row>
    <row r="3" spans="2:17" s="75" customFormat="1" ht="32.25" thickBot="1">
      <c r="B3" s="185" t="s">
        <v>103</v>
      </c>
      <c r="C3" s="186" t="s">
        <v>0</v>
      </c>
      <c r="D3" s="186" t="s">
        <v>25</v>
      </c>
      <c r="E3" s="186" t="s">
        <v>26</v>
      </c>
      <c r="F3" s="186" t="s">
        <v>27</v>
      </c>
      <c r="G3" s="186" t="s">
        <v>52</v>
      </c>
      <c r="H3" s="183" t="s">
        <v>101</v>
      </c>
      <c r="I3" s="182" t="s">
        <v>7</v>
      </c>
      <c r="J3" s="187" t="s">
        <v>103</v>
      </c>
      <c r="K3" s="187" t="s">
        <v>0</v>
      </c>
      <c r="L3" s="186" t="s">
        <v>25</v>
      </c>
      <c r="M3" s="186" t="s">
        <v>26</v>
      </c>
      <c r="N3" s="186" t="s">
        <v>27</v>
      </c>
      <c r="O3" s="186" t="s">
        <v>52</v>
      </c>
      <c r="P3" s="183" t="s">
        <v>101</v>
      </c>
      <c r="Q3" s="180" t="s">
        <v>7</v>
      </c>
    </row>
    <row r="4" spans="2:17">
      <c r="B4" s="310">
        <v>1</v>
      </c>
      <c r="C4" s="313" t="s">
        <v>43</v>
      </c>
      <c r="D4" s="190"/>
      <c r="E4" s="194" t="str">
        <f>IF(HomeTeam!E5="","",HomeTeam!E5)</f>
        <v/>
      </c>
      <c r="F4" s="190"/>
      <c r="G4" s="190" t="str">
        <f>IF(HomeTeam!G5="","",HomeTeam!G5)</f>
        <v/>
      </c>
      <c r="H4" s="304"/>
      <c r="I4" s="316"/>
      <c r="J4" s="310">
        <v>2</v>
      </c>
      <c r="K4" s="313" t="s">
        <v>45</v>
      </c>
      <c r="L4" s="190" t="str">
        <f>IF(HomeTeam!K5="","",HomeTeam!K5)</f>
        <v/>
      </c>
      <c r="M4" s="194" t="str">
        <f>IF(HomeTeam!L5="","",HomeTeam!L5)</f>
        <v/>
      </c>
      <c r="N4" s="190" t="str">
        <f>IF(HomeTeam!M5="","",HomeTeam!M5)</f>
        <v/>
      </c>
      <c r="O4" s="190" t="str">
        <f>IF(HomeTeam!N5="","",HomeTeam!N5)</f>
        <v/>
      </c>
      <c r="P4" s="304"/>
      <c r="Q4" s="307"/>
    </row>
    <row r="5" spans="2:17">
      <c r="B5" s="311"/>
      <c r="C5" s="314"/>
      <c r="D5" s="194"/>
      <c r="E5" s="194" t="str">
        <f>IF(HomeTeam!E6="","",HomeTeam!E6)</f>
        <v/>
      </c>
      <c r="F5" s="194"/>
      <c r="G5" s="194" t="str">
        <f>IF(HomeTeam!G6="","",HomeTeam!G6)</f>
        <v/>
      </c>
      <c r="H5" s="305"/>
      <c r="I5" s="317"/>
      <c r="J5" s="311"/>
      <c r="K5" s="314"/>
      <c r="L5" s="194" t="str">
        <f>IF(HomeTeam!K6="","",HomeTeam!K6)</f>
        <v/>
      </c>
      <c r="M5" s="194" t="str">
        <f>IF(HomeTeam!L6="","",HomeTeam!L6)</f>
        <v/>
      </c>
      <c r="N5" s="194" t="str">
        <f>IF(HomeTeam!M6="","",HomeTeam!M6)</f>
        <v/>
      </c>
      <c r="O5" s="194" t="str">
        <f>IF(HomeTeam!N6="","",HomeTeam!N6)</f>
        <v/>
      </c>
      <c r="P5" s="305"/>
      <c r="Q5" s="308"/>
    </row>
    <row r="6" spans="2:17">
      <c r="B6" s="311"/>
      <c r="C6" s="314"/>
      <c r="D6" s="194"/>
      <c r="E6" s="194" t="str">
        <f>IF(HomeTeam!E7="","",HomeTeam!E7)</f>
        <v/>
      </c>
      <c r="F6" s="194"/>
      <c r="G6" s="194" t="str">
        <f>IF(HomeTeam!G7="","",HomeTeam!G7)</f>
        <v/>
      </c>
      <c r="H6" s="305"/>
      <c r="I6" s="317"/>
      <c r="J6" s="311"/>
      <c r="K6" s="314"/>
      <c r="L6" s="194" t="str">
        <f>IF(HomeTeam!K7="","",HomeTeam!K7)</f>
        <v/>
      </c>
      <c r="M6" s="194" t="str">
        <f>IF(HomeTeam!L7="","",HomeTeam!L7)</f>
        <v/>
      </c>
      <c r="O6" s="194" t="str">
        <f>IF(HomeTeam!N7="","",HomeTeam!N7)</f>
        <v/>
      </c>
      <c r="P6" s="305"/>
      <c r="Q6" s="308"/>
    </row>
    <row r="7" spans="2:17" ht="15.75" thickBot="1">
      <c r="B7" s="312"/>
      <c r="C7" s="315"/>
      <c r="D7" s="199"/>
      <c r="E7" s="194" t="str">
        <f>IF(HomeTeam!E8="","",HomeTeam!E8)</f>
        <v/>
      </c>
      <c r="F7" s="199"/>
      <c r="G7" s="199" t="str">
        <f>IF(HomeTeam!G8="","",HomeTeam!G8)</f>
        <v/>
      </c>
      <c r="H7" s="306"/>
      <c r="I7" s="318"/>
      <c r="J7" s="312"/>
      <c r="K7" s="315"/>
      <c r="L7" s="194" t="str">
        <f>IF(HomeTeam!K8="","",HomeTeam!K8)</f>
        <v/>
      </c>
      <c r="M7" s="194" t="str">
        <f>IF(HomeTeam!L8="","",HomeTeam!L8)</f>
        <v/>
      </c>
      <c r="N7" s="194" t="str">
        <f>IF(HomeTeam!M8="","",HomeTeam!M8)</f>
        <v/>
      </c>
      <c r="O7" s="194" t="str">
        <f>IF(HomeTeam!N8="","",HomeTeam!N8)</f>
        <v/>
      </c>
      <c r="P7" s="306"/>
      <c r="Q7" s="309"/>
    </row>
    <row r="8" spans="2:17">
      <c r="B8" s="310">
        <v>3</v>
      </c>
      <c r="C8" s="313" t="s">
        <v>44</v>
      </c>
      <c r="D8" s="190"/>
      <c r="E8" s="194" t="str">
        <f>IF(HomeTeam!E9="","",HomeTeam!E9)</f>
        <v/>
      </c>
      <c r="F8" s="190"/>
      <c r="G8" s="190" t="str">
        <f>IF(HomeTeam!G9="","",HomeTeam!G9)</f>
        <v/>
      </c>
      <c r="H8" s="304"/>
      <c r="I8" s="316"/>
      <c r="J8" s="310">
        <v>4</v>
      </c>
      <c r="K8" s="313" t="s">
        <v>46</v>
      </c>
      <c r="L8" s="190" t="str">
        <f>IF(HomeTeam!K9="","",HomeTeam!K9)</f>
        <v/>
      </c>
      <c r="M8" s="190" t="str">
        <f>IF(HomeTeam!L9="","",HomeTeam!L9)</f>
        <v/>
      </c>
      <c r="N8" s="190" t="str">
        <f>IF(HomeTeam!M9="","",HomeTeam!M9)</f>
        <v/>
      </c>
      <c r="O8" s="190" t="str">
        <f>IF(HomeTeam!N9="","",HomeTeam!N9)</f>
        <v/>
      </c>
      <c r="P8" s="304"/>
      <c r="Q8" s="307"/>
    </row>
    <row r="9" spans="2:17">
      <c r="B9" s="311"/>
      <c r="C9" s="314"/>
      <c r="D9" s="194"/>
      <c r="E9" s="194" t="str">
        <f>IF(HomeTeam!E10="","",HomeTeam!E10)</f>
        <v/>
      </c>
      <c r="F9" s="194"/>
      <c r="G9" s="194" t="str">
        <f>IF(HomeTeam!G10="","",HomeTeam!G10)</f>
        <v/>
      </c>
      <c r="H9" s="305"/>
      <c r="I9" s="317"/>
      <c r="J9" s="311"/>
      <c r="K9" s="314"/>
      <c r="L9" s="194" t="str">
        <f>IF(HomeTeam!K10="","",HomeTeam!K10)</f>
        <v/>
      </c>
      <c r="M9" s="194" t="str">
        <f>IF(HomeTeam!L10="","",HomeTeam!L10)</f>
        <v/>
      </c>
      <c r="N9" s="194" t="str">
        <f>IF(HomeTeam!M10="","",HomeTeam!M10)</f>
        <v/>
      </c>
      <c r="O9" s="194" t="str">
        <f>IF(HomeTeam!N10="","",HomeTeam!N10)</f>
        <v/>
      </c>
      <c r="P9" s="305"/>
      <c r="Q9" s="308"/>
    </row>
    <row r="10" spans="2:17">
      <c r="B10" s="311"/>
      <c r="C10" s="314"/>
      <c r="D10" s="194"/>
      <c r="E10" s="194" t="str">
        <f>IF(HomeTeam!E11="","",HomeTeam!E11)</f>
        <v/>
      </c>
      <c r="F10" s="194"/>
      <c r="G10" s="194" t="str">
        <f>IF(HomeTeam!G11="","",HomeTeam!G11)</f>
        <v/>
      </c>
      <c r="H10" s="305"/>
      <c r="I10" s="317"/>
      <c r="J10" s="311"/>
      <c r="K10" s="314"/>
      <c r="L10" s="216" t="str">
        <f>IF(HomeTeam!K11="","",HomeTeam!K11)</f>
        <v/>
      </c>
      <c r="M10" s="216" t="str">
        <f>IF(HomeTeam!L11="","",HomeTeam!L11)</f>
        <v/>
      </c>
      <c r="N10" s="216" t="str">
        <f>IF(HomeTeam!M11="","",HomeTeam!M11)</f>
        <v/>
      </c>
      <c r="O10" s="216" t="str">
        <f>IF(HomeTeam!N11="","",HomeTeam!N11)</f>
        <v/>
      </c>
      <c r="P10" s="305"/>
      <c r="Q10" s="308"/>
    </row>
    <row r="11" spans="2:17" ht="15.75" thickBot="1">
      <c r="B11" s="312"/>
      <c r="C11" s="315"/>
      <c r="D11" s="199"/>
      <c r="E11" s="194" t="str">
        <f>IF(HomeTeam!E12="","",HomeTeam!E12)</f>
        <v/>
      </c>
      <c r="F11" s="199"/>
      <c r="G11" s="199" t="str">
        <f>IF(HomeTeam!G12="","",HomeTeam!G12)</f>
        <v/>
      </c>
      <c r="H11" s="306"/>
      <c r="I11" s="318"/>
      <c r="J11" s="312"/>
      <c r="K11" s="315"/>
      <c r="L11" s="199" t="str">
        <f>IF(HomeTeam!K12="","",HomeTeam!K12)</f>
        <v/>
      </c>
      <c r="M11" s="199" t="str">
        <f>IF(HomeTeam!L12="","",HomeTeam!L12)</f>
        <v/>
      </c>
      <c r="N11" s="199" t="str">
        <f>IF(HomeTeam!M12="","",HomeTeam!M12)</f>
        <v/>
      </c>
      <c r="O11" s="199" t="str">
        <f>IF(HomeTeam!N12="","",HomeTeam!N12)</f>
        <v/>
      </c>
      <c r="P11" s="306"/>
      <c r="Q11" s="309"/>
    </row>
    <row r="12" spans="2:17" ht="15.75" thickBot="1">
      <c r="B12" s="322" t="s">
        <v>106</v>
      </c>
      <c r="C12" s="323"/>
      <c r="D12" s="323"/>
      <c r="E12" s="323"/>
      <c r="F12" s="323"/>
      <c r="G12" s="323"/>
      <c r="H12" s="302"/>
      <c r="I12" s="302"/>
      <c r="J12" s="323"/>
      <c r="K12" s="323"/>
      <c r="L12" s="323"/>
      <c r="M12" s="323"/>
      <c r="N12" s="323"/>
      <c r="O12" s="324"/>
      <c r="P12" s="181"/>
      <c r="Q12" s="181"/>
    </row>
    <row r="13" spans="2:17" ht="15.75" customHeight="1" thickBot="1">
      <c r="B13" s="189">
        <v>5</v>
      </c>
      <c r="C13" s="189" t="s">
        <v>69</v>
      </c>
      <c r="D13" s="188">
        <f>HomeTeam!D13</f>
        <v>0</v>
      </c>
      <c r="E13" s="188">
        <f>HomeTeam!E13</f>
        <v>0</v>
      </c>
      <c r="F13" s="188">
        <f>HomeTeam!F13</f>
        <v>0</v>
      </c>
      <c r="G13" s="188">
        <f>HomeTeam!G13</f>
        <v>0</v>
      </c>
      <c r="H13" s="190"/>
      <c r="I13" s="190"/>
      <c r="J13" s="189">
        <v>6</v>
      </c>
      <c r="K13" s="191" t="s">
        <v>85</v>
      </c>
      <c r="L13" s="192" t="str">
        <f>IF(HomeTeam!K13="","",HomeTeam!K13)</f>
        <v/>
      </c>
      <c r="M13" s="192" t="str">
        <f>IF(HomeTeam!L13="","",HomeTeam!L13)</f>
        <v/>
      </c>
      <c r="N13" s="192" t="str">
        <f>IF(HomeTeam!M13="","",HomeTeam!M13)</f>
        <v/>
      </c>
      <c r="O13" s="192" t="str">
        <f>IF(HomeTeam!N13="","",HomeTeam!N13)</f>
        <v/>
      </c>
      <c r="P13" s="190"/>
      <c r="Q13" s="190"/>
    </row>
    <row r="14" spans="2:17" ht="15.75" customHeight="1" thickBot="1">
      <c r="B14" s="193">
        <v>7</v>
      </c>
      <c r="C14" s="193" t="s">
        <v>70</v>
      </c>
      <c r="D14" s="188">
        <f>HomeTeam!D14</f>
        <v>0</v>
      </c>
      <c r="E14" s="188">
        <f>HomeTeam!E14</f>
        <v>0</v>
      </c>
      <c r="F14" s="188">
        <f>HomeTeam!F14</f>
        <v>0</v>
      </c>
      <c r="G14" s="188">
        <f>HomeTeam!G14</f>
        <v>0</v>
      </c>
      <c r="H14" s="194"/>
      <c r="I14" s="194"/>
      <c r="J14" s="193">
        <v>8</v>
      </c>
      <c r="K14" s="195" t="s">
        <v>86</v>
      </c>
      <c r="L14" s="196" t="str">
        <f>IF(HomeTeam!K14="","",HomeTeam!K14)</f>
        <v/>
      </c>
      <c r="M14" s="196" t="str">
        <f>IF(HomeTeam!L14="","",HomeTeam!L14)</f>
        <v/>
      </c>
      <c r="N14" s="196" t="str">
        <f>IF(HomeTeam!M14="","",HomeTeam!M14)</f>
        <v/>
      </c>
      <c r="O14" s="196" t="str">
        <f>IF(HomeTeam!N14="","",HomeTeam!N14)</f>
        <v/>
      </c>
      <c r="P14" s="194"/>
      <c r="Q14" s="194"/>
    </row>
    <row r="15" spans="2:17" ht="15.75" customHeight="1" thickBot="1">
      <c r="B15" s="193">
        <v>9</v>
      </c>
      <c r="C15" s="193" t="s">
        <v>71</v>
      </c>
      <c r="D15" s="188">
        <f>HomeTeam!D15</f>
        <v>0</v>
      </c>
      <c r="E15" s="188">
        <f>HomeTeam!E15</f>
        <v>0</v>
      </c>
      <c r="F15" s="188">
        <f>HomeTeam!F15</f>
        <v>0</v>
      </c>
      <c r="G15" s="188">
        <f>HomeTeam!G15</f>
        <v>0</v>
      </c>
      <c r="H15" s="194"/>
      <c r="I15" s="194"/>
      <c r="J15" s="193">
        <v>10</v>
      </c>
      <c r="K15" s="195" t="s">
        <v>87</v>
      </c>
      <c r="L15" s="196" t="str">
        <f>IF(HomeTeam!K15="","",HomeTeam!K15)</f>
        <v/>
      </c>
      <c r="M15" s="196" t="str">
        <f>IF(HomeTeam!L15="","",HomeTeam!L15)</f>
        <v/>
      </c>
      <c r="N15" s="196" t="str">
        <f>IF(HomeTeam!M15="","",HomeTeam!M15)</f>
        <v/>
      </c>
      <c r="O15" s="196" t="str">
        <f>IF(HomeTeam!N15="","",HomeTeam!N15)</f>
        <v/>
      </c>
      <c r="P15" s="194"/>
      <c r="Q15" s="194"/>
    </row>
    <row r="16" spans="2:17" ht="15.75" customHeight="1" thickBot="1">
      <c r="B16" s="197">
        <v>11</v>
      </c>
      <c r="C16" s="197" t="s">
        <v>72</v>
      </c>
      <c r="D16" s="188">
        <f>HomeTeam!D16</f>
        <v>0</v>
      </c>
      <c r="E16" s="188">
        <f>HomeTeam!E16</f>
        <v>0</v>
      </c>
      <c r="F16" s="188">
        <f>HomeTeam!F16</f>
        <v>0</v>
      </c>
      <c r="G16" s="188">
        <f>HomeTeam!G16</f>
        <v>0</v>
      </c>
      <c r="H16" s="199"/>
      <c r="I16" s="199"/>
      <c r="J16" s="197">
        <v>12</v>
      </c>
      <c r="K16" s="200" t="s">
        <v>88</v>
      </c>
      <c r="L16" s="201" t="str">
        <f>IF(HomeTeam!K16="","",HomeTeam!K16)</f>
        <v/>
      </c>
      <c r="M16" s="201" t="str">
        <f>IF(HomeTeam!L16="","",HomeTeam!L16)</f>
        <v/>
      </c>
      <c r="N16" s="201" t="str">
        <f>IF(HomeTeam!M16="","",HomeTeam!M16)</f>
        <v/>
      </c>
      <c r="O16" s="201" t="str">
        <f>IF(HomeTeam!N16="","",HomeTeam!N16)</f>
        <v/>
      </c>
      <c r="P16" s="199"/>
      <c r="Q16" s="199"/>
    </row>
    <row r="17" spans="2:17" ht="15.75" thickBot="1">
      <c r="B17" s="319" t="s">
        <v>121</v>
      </c>
      <c r="C17" s="320"/>
      <c r="D17" s="320"/>
      <c r="E17" s="320"/>
      <c r="F17" s="320"/>
      <c r="G17" s="321"/>
      <c r="H17" s="179"/>
      <c r="I17" s="179"/>
      <c r="J17" s="319" t="s">
        <v>105</v>
      </c>
      <c r="K17" s="320"/>
      <c r="L17" s="320"/>
      <c r="M17" s="320"/>
      <c r="N17" s="320"/>
      <c r="O17" s="321"/>
      <c r="P17" s="179"/>
      <c r="Q17" s="179"/>
    </row>
    <row r="18" spans="2:17" ht="15.75" thickBot="1">
      <c r="B18" s="301" t="s">
        <v>107</v>
      </c>
      <c r="C18" s="302"/>
      <c r="D18" s="302"/>
      <c r="E18" s="302"/>
      <c r="F18" s="302"/>
      <c r="G18" s="302"/>
      <c r="H18" s="302"/>
      <c r="I18" s="302"/>
      <c r="J18" s="302"/>
      <c r="K18" s="302"/>
      <c r="L18" s="302"/>
      <c r="M18" s="302"/>
      <c r="N18" s="302"/>
      <c r="O18" s="303"/>
      <c r="P18" s="181"/>
      <c r="Q18" s="181"/>
    </row>
    <row r="19" spans="2:17" ht="15.75" customHeight="1" thickBot="1">
      <c r="B19" s="189">
        <v>13</v>
      </c>
      <c r="C19" s="189" t="s">
        <v>73</v>
      </c>
      <c r="D19" s="188">
        <f>HomeTeam!D17</f>
        <v>0</v>
      </c>
      <c r="E19" s="188">
        <f>HomeTeam!E17</f>
        <v>0</v>
      </c>
      <c r="F19" s="188">
        <f>HomeTeam!F17</f>
        <v>0</v>
      </c>
      <c r="G19" s="188">
        <f>HomeTeam!G17</f>
        <v>0</v>
      </c>
      <c r="H19" s="190"/>
      <c r="I19" s="190"/>
      <c r="J19" s="189">
        <v>14</v>
      </c>
      <c r="K19" s="191" t="s">
        <v>89</v>
      </c>
      <c r="L19" s="192" t="str">
        <f>IF(HomeTeam!K17="","",HomeTeam!K17)</f>
        <v/>
      </c>
      <c r="M19" s="192" t="str">
        <f>IF(HomeTeam!L17="","",HomeTeam!L17)</f>
        <v/>
      </c>
      <c r="N19" s="192" t="str">
        <f>IF(HomeTeam!M17="","",HomeTeam!M17)</f>
        <v/>
      </c>
      <c r="O19" s="192" t="str">
        <f>IF(HomeTeam!N17="","",HomeTeam!N17)</f>
        <v/>
      </c>
      <c r="P19" s="190"/>
      <c r="Q19" s="190"/>
    </row>
    <row r="20" spans="2:17" ht="15.75" customHeight="1" thickBot="1">
      <c r="B20" s="193">
        <v>15</v>
      </c>
      <c r="C20" s="193" t="s">
        <v>74</v>
      </c>
      <c r="D20" s="188">
        <f>HomeTeam!D18</f>
        <v>0</v>
      </c>
      <c r="E20" s="188">
        <f>HomeTeam!E18</f>
        <v>0</v>
      </c>
      <c r="F20" s="188">
        <f>HomeTeam!F18</f>
        <v>0</v>
      </c>
      <c r="G20" s="188">
        <f>HomeTeam!G18</f>
        <v>0</v>
      </c>
      <c r="H20" s="194"/>
      <c r="I20" s="194"/>
      <c r="J20" s="193">
        <v>16</v>
      </c>
      <c r="K20" s="195" t="s">
        <v>90</v>
      </c>
      <c r="L20" s="196" t="str">
        <f>IF(HomeTeam!K18="","",HomeTeam!K18)</f>
        <v/>
      </c>
      <c r="M20" s="196" t="str">
        <f>IF(HomeTeam!L18="","",HomeTeam!L18)</f>
        <v/>
      </c>
      <c r="N20" s="196" t="str">
        <f>IF(HomeTeam!M18="","",HomeTeam!M18)</f>
        <v/>
      </c>
      <c r="O20" s="196" t="str">
        <f>IF(HomeTeam!N18="","",HomeTeam!N18)</f>
        <v/>
      </c>
      <c r="P20" s="194"/>
      <c r="Q20" s="194"/>
    </row>
    <row r="21" spans="2:17" ht="15.75" customHeight="1" thickBot="1">
      <c r="B21" s="193">
        <v>17</v>
      </c>
      <c r="C21" s="193" t="s">
        <v>75</v>
      </c>
      <c r="D21" s="188">
        <f>HomeTeam!D19</f>
        <v>0</v>
      </c>
      <c r="E21" s="188">
        <f>HomeTeam!E19</f>
        <v>0</v>
      </c>
      <c r="F21" s="188">
        <f>HomeTeam!F19</f>
        <v>0</v>
      </c>
      <c r="G21" s="188">
        <f>HomeTeam!G19</f>
        <v>0</v>
      </c>
      <c r="H21" s="194"/>
      <c r="I21" s="194"/>
      <c r="J21" s="193">
        <v>18</v>
      </c>
      <c r="K21" s="195" t="s">
        <v>91</v>
      </c>
      <c r="L21" s="196" t="str">
        <f>IF(HomeTeam!K19="","",HomeTeam!K19)</f>
        <v/>
      </c>
      <c r="M21" s="196" t="str">
        <f>IF(HomeTeam!L19="","",HomeTeam!L19)</f>
        <v/>
      </c>
      <c r="N21" s="196" t="str">
        <f>IF(HomeTeam!M19="","",HomeTeam!M19)</f>
        <v/>
      </c>
      <c r="O21" s="196" t="str">
        <f>IF(HomeTeam!N19="","",HomeTeam!N19)</f>
        <v/>
      </c>
      <c r="P21" s="194"/>
      <c r="Q21" s="194"/>
    </row>
    <row r="22" spans="2:17" ht="15.75" customHeight="1" thickBot="1">
      <c r="B22" s="197">
        <v>19</v>
      </c>
      <c r="C22" s="197" t="s">
        <v>76</v>
      </c>
      <c r="D22" s="188">
        <f>HomeTeam!D20</f>
        <v>0</v>
      </c>
      <c r="E22" s="188">
        <f>HomeTeam!E20</f>
        <v>0</v>
      </c>
      <c r="F22" s="188">
        <f>HomeTeam!F20</f>
        <v>0</v>
      </c>
      <c r="G22" s="188">
        <f>HomeTeam!G20</f>
        <v>0</v>
      </c>
      <c r="H22" s="199"/>
      <c r="I22" s="199"/>
      <c r="J22" s="197">
        <v>20</v>
      </c>
      <c r="K22" s="200" t="s">
        <v>92</v>
      </c>
      <c r="L22" s="201" t="str">
        <f>IF(HomeTeam!K20="","",HomeTeam!K20)</f>
        <v/>
      </c>
      <c r="M22" s="201" t="str">
        <f>IF(HomeTeam!L20="","",HomeTeam!L20)</f>
        <v/>
      </c>
      <c r="N22" s="201" t="str">
        <f>IF(HomeTeam!M20="","",HomeTeam!M20)</f>
        <v/>
      </c>
      <c r="O22" s="201" t="str">
        <f>IF(HomeTeam!N20="","",HomeTeam!N20)</f>
        <v/>
      </c>
      <c r="P22" s="199"/>
      <c r="Q22" s="199"/>
    </row>
    <row r="23" spans="2:17" ht="15.75" thickBot="1">
      <c r="B23" s="319" t="s">
        <v>110</v>
      </c>
      <c r="C23" s="320"/>
      <c r="D23" s="320"/>
      <c r="E23" s="320"/>
      <c r="F23" s="320"/>
      <c r="G23" s="321"/>
      <c r="H23" s="179"/>
      <c r="I23" s="179"/>
      <c r="J23" s="319" t="s">
        <v>108</v>
      </c>
      <c r="K23" s="320"/>
      <c r="L23" s="320"/>
      <c r="M23" s="320"/>
      <c r="N23" s="320"/>
      <c r="O23" s="321"/>
      <c r="P23" s="179"/>
      <c r="Q23" s="179"/>
    </row>
    <row r="24" spans="2:17" ht="15.75" thickBot="1">
      <c r="B24" s="301" t="s">
        <v>109</v>
      </c>
      <c r="C24" s="302"/>
      <c r="D24" s="302"/>
      <c r="E24" s="302"/>
      <c r="F24" s="302"/>
      <c r="G24" s="302"/>
      <c r="H24" s="302"/>
      <c r="I24" s="302"/>
      <c r="J24" s="302"/>
      <c r="K24" s="302"/>
      <c r="L24" s="302"/>
      <c r="M24" s="302"/>
      <c r="N24" s="302"/>
      <c r="O24" s="303"/>
      <c r="P24" s="181"/>
      <c r="Q24" s="181"/>
    </row>
    <row r="25" spans="2:17" ht="15.75" customHeight="1" thickBot="1">
      <c r="B25" s="189">
        <v>21</v>
      </c>
      <c r="C25" s="189" t="s">
        <v>77</v>
      </c>
      <c r="D25" s="188">
        <f>HomeTeam!D21</f>
        <v>0</v>
      </c>
      <c r="E25" s="188">
        <f>HomeTeam!E21</f>
        <v>0</v>
      </c>
      <c r="F25" s="188">
        <f>HomeTeam!F21</f>
        <v>0</v>
      </c>
      <c r="G25" s="188">
        <f>HomeTeam!G21</f>
        <v>0</v>
      </c>
      <c r="H25" s="190"/>
      <c r="I25" s="190"/>
      <c r="J25" s="189">
        <v>22</v>
      </c>
      <c r="K25" s="191" t="s">
        <v>93</v>
      </c>
      <c r="L25" s="192" t="str">
        <f>IF(HomeTeam!K21="","",HomeTeam!K21)</f>
        <v/>
      </c>
      <c r="M25" s="192" t="str">
        <f>IF(HomeTeam!L21="","",HomeTeam!L21)</f>
        <v/>
      </c>
      <c r="N25" s="192" t="str">
        <f>IF(HomeTeam!M21="","",HomeTeam!M21)</f>
        <v/>
      </c>
      <c r="O25" s="192" t="str">
        <f>IF(HomeTeam!N21="","",HomeTeam!N21)</f>
        <v/>
      </c>
      <c r="P25" s="190"/>
      <c r="Q25" s="190"/>
    </row>
    <row r="26" spans="2:17" ht="15.75" customHeight="1" thickBot="1">
      <c r="B26" s="193">
        <v>23</v>
      </c>
      <c r="C26" s="193" t="s">
        <v>78</v>
      </c>
      <c r="D26" s="188">
        <f>HomeTeam!D22</f>
        <v>0</v>
      </c>
      <c r="E26" s="188">
        <f>HomeTeam!E22</f>
        <v>0</v>
      </c>
      <c r="F26" s="188">
        <f>HomeTeam!F22</f>
        <v>0</v>
      </c>
      <c r="G26" s="188">
        <f>HomeTeam!G22</f>
        <v>0</v>
      </c>
      <c r="H26" s="194"/>
      <c r="I26" s="194"/>
      <c r="J26" s="193">
        <v>24</v>
      </c>
      <c r="K26" s="195" t="s">
        <v>94</v>
      </c>
      <c r="L26" s="196" t="str">
        <f>IF(HomeTeam!K22="","",HomeTeam!K22)</f>
        <v/>
      </c>
      <c r="M26" s="196" t="str">
        <f>IF(HomeTeam!L22="","",HomeTeam!L22)</f>
        <v/>
      </c>
      <c r="N26" s="196" t="str">
        <f>IF(HomeTeam!M22="","",HomeTeam!M22)</f>
        <v/>
      </c>
      <c r="O26" s="196" t="str">
        <f>IF(HomeTeam!N22="","",HomeTeam!N22)</f>
        <v/>
      </c>
      <c r="P26" s="194"/>
      <c r="Q26" s="194"/>
    </row>
    <row r="27" spans="2:17" ht="15.75" customHeight="1" thickBot="1">
      <c r="B27" s="193">
        <v>25</v>
      </c>
      <c r="C27" s="193" t="s">
        <v>79</v>
      </c>
      <c r="D27" s="188">
        <f>HomeTeam!D23</f>
        <v>0</v>
      </c>
      <c r="E27" s="188">
        <f>HomeTeam!E23</f>
        <v>0</v>
      </c>
      <c r="F27" s="188">
        <f>HomeTeam!F23</f>
        <v>0</v>
      </c>
      <c r="G27" s="188">
        <f>HomeTeam!G23</f>
        <v>0</v>
      </c>
      <c r="H27" s="194"/>
      <c r="I27" s="194"/>
      <c r="J27" s="193">
        <v>26</v>
      </c>
      <c r="K27" s="195" t="s">
        <v>95</v>
      </c>
      <c r="L27" s="196" t="str">
        <f>IF(HomeTeam!K23="","",HomeTeam!K23)</f>
        <v/>
      </c>
      <c r="M27" s="196" t="str">
        <f>IF(HomeTeam!L23="","",HomeTeam!L23)</f>
        <v/>
      </c>
      <c r="N27" s="196" t="str">
        <f>IF(HomeTeam!M23="","",HomeTeam!M23)</f>
        <v/>
      </c>
      <c r="O27" s="196" t="str">
        <f>IF(HomeTeam!N23="","",HomeTeam!N23)</f>
        <v/>
      </c>
      <c r="P27" s="194"/>
      <c r="Q27" s="194"/>
    </row>
    <row r="28" spans="2:17" ht="15.75" customHeight="1" thickBot="1">
      <c r="B28" s="197">
        <v>27</v>
      </c>
      <c r="C28" s="197" t="s">
        <v>80</v>
      </c>
      <c r="D28" s="188">
        <f>HomeTeam!D24</f>
        <v>0</v>
      </c>
      <c r="E28" s="188">
        <f>HomeTeam!E24</f>
        <v>0</v>
      </c>
      <c r="F28" s="188">
        <f>HomeTeam!F24</f>
        <v>0</v>
      </c>
      <c r="G28" s="188">
        <f>HomeTeam!G24</f>
        <v>0</v>
      </c>
      <c r="H28" s="199"/>
      <c r="I28" s="199"/>
      <c r="J28" s="197">
        <v>28</v>
      </c>
      <c r="K28" s="200" t="s">
        <v>96</v>
      </c>
      <c r="L28" s="201" t="str">
        <f>IF(HomeTeam!K24="","",HomeTeam!K24)</f>
        <v/>
      </c>
      <c r="M28" s="201" t="str">
        <f>IF(HomeTeam!L24="","",HomeTeam!L24)</f>
        <v/>
      </c>
      <c r="N28" s="201" t="str">
        <f>IF(HomeTeam!M24="","",HomeTeam!M24)</f>
        <v/>
      </c>
      <c r="O28" s="201" t="str">
        <f>IF(HomeTeam!N24="","",HomeTeam!N24)</f>
        <v/>
      </c>
      <c r="P28" s="199"/>
      <c r="Q28" s="199"/>
    </row>
    <row r="29" spans="2:17" ht="15.75" thickBot="1">
      <c r="B29" s="319" t="s">
        <v>111</v>
      </c>
      <c r="C29" s="320"/>
      <c r="D29" s="320"/>
      <c r="E29" s="320"/>
      <c r="F29" s="320"/>
      <c r="G29" s="321"/>
      <c r="H29" s="179"/>
      <c r="I29" s="179"/>
      <c r="J29" s="319" t="s">
        <v>112</v>
      </c>
      <c r="K29" s="320"/>
      <c r="L29" s="320"/>
      <c r="M29" s="320"/>
      <c r="N29" s="320"/>
      <c r="O29" s="321"/>
      <c r="P29" s="179"/>
      <c r="Q29" s="179"/>
    </row>
    <row r="30" spans="2:17" ht="15.75" thickBot="1">
      <c r="B30" s="301" t="s">
        <v>113</v>
      </c>
      <c r="C30" s="302"/>
      <c r="D30" s="302"/>
      <c r="E30" s="302"/>
      <c r="F30" s="302"/>
      <c r="G30" s="302"/>
      <c r="H30" s="302"/>
      <c r="I30" s="302"/>
      <c r="J30" s="302"/>
      <c r="K30" s="302"/>
      <c r="L30" s="302"/>
      <c r="M30" s="302"/>
      <c r="N30" s="302"/>
      <c r="O30" s="303"/>
      <c r="P30" s="181"/>
      <c r="Q30" s="181"/>
    </row>
    <row r="31" spans="2:17" ht="15.75" customHeight="1" thickBot="1">
      <c r="B31" s="189">
        <v>29</v>
      </c>
      <c r="C31" s="189" t="s">
        <v>81</v>
      </c>
      <c r="D31" s="188">
        <f>HomeTeam!D25</f>
        <v>0</v>
      </c>
      <c r="E31" s="188">
        <f>HomeTeam!E25</f>
        <v>0</v>
      </c>
      <c r="F31" s="188">
        <f>HomeTeam!F25</f>
        <v>0</v>
      </c>
      <c r="G31" s="188">
        <f>HomeTeam!G25</f>
        <v>0</v>
      </c>
      <c r="H31" s="190"/>
      <c r="I31" s="190"/>
      <c r="J31" s="189">
        <v>30</v>
      </c>
      <c r="K31" s="191" t="s">
        <v>97</v>
      </c>
      <c r="L31" s="192" t="str">
        <f>IF(HomeTeam!K25="","",HomeTeam!K25)</f>
        <v/>
      </c>
      <c r="M31" s="192" t="str">
        <f>IF(HomeTeam!L25="","",HomeTeam!L25)</f>
        <v/>
      </c>
      <c r="N31" s="192" t="str">
        <f>IF(HomeTeam!M25="","",HomeTeam!M25)</f>
        <v/>
      </c>
      <c r="O31" s="192" t="str">
        <f>IF(HomeTeam!N25="","",HomeTeam!N25)</f>
        <v/>
      </c>
      <c r="P31" s="190"/>
      <c r="Q31" s="190"/>
    </row>
    <row r="32" spans="2:17" ht="15.75" customHeight="1" thickBot="1">
      <c r="B32" s="193">
        <v>31</v>
      </c>
      <c r="C32" s="193" t="s">
        <v>82</v>
      </c>
      <c r="D32" s="188">
        <f>HomeTeam!D26</f>
        <v>0</v>
      </c>
      <c r="E32" s="188">
        <f>HomeTeam!E26</f>
        <v>0</v>
      </c>
      <c r="F32" s="188">
        <f>HomeTeam!F26</f>
        <v>0</v>
      </c>
      <c r="G32" s="188">
        <f>HomeTeam!G26</f>
        <v>0</v>
      </c>
      <c r="H32" s="194"/>
      <c r="I32" s="194"/>
      <c r="J32" s="193">
        <v>32</v>
      </c>
      <c r="K32" s="195" t="s">
        <v>98</v>
      </c>
      <c r="L32" s="196" t="str">
        <f>IF(HomeTeam!K26="","",HomeTeam!K26)</f>
        <v/>
      </c>
      <c r="M32" s="196" t="str">
        <f>IF(HomeTeam!L26="","",HomeTeam!L26)</f>
        <v/>
      </c>
      <c r="N32" s="196" t="str">
        <f>IF(HomeTeam!M26="","",HomeTeam!M26)</f>
        <v/>
      </c>
      <c r="O32" s="196" t="str">
        <f>IF(HomeTeam!N26="","",HomeTeam!N26)</f>
        <v/>
      </c>
      <c r="P32" s="194"/>
      <c r="Q32" s="194"/>
    </row>
    <row r="33" spans="2:17" ht="15.75" customHeight="1" thickBot="1">
      <c r="B33" s="193">
        <v>33</v>
      </c>
      <c r="C33" s="193" t="s">
        <v>83</v>
      </c>
      <c r="D33" s="188">
        <f>HomeTeam!D27</f>
        <v>0</v>
      </c>
      <c r="E33" s="188">
        <f>HomeTeam!E27</f>
        <v>0</v>
      </c>
      <c r="F33" s="188">
        <f>HomeTeam!F27</f>
        <v>0</v>
      </c>
      <c r="G33" s="188">
        <f>HomeTeam!G27</f>
        <v>0</v>
      </c>
      <c r="H33" s="194"/>
      <c r="I33" s="194"/>
      <c r="J33" s="193">
        <v>34</v>
      </c>
      <c r="K33" s="195" t="s">
        <v>99</v>
      </c>
      <c r="L33" s="196" t="str">
        <f>IF(HomeTeam!K27="","",HomeTeam!K27)</f>
        <v/>
      </c>
      <c r="M33" s="196" t="str">
        <f>IF(HomeTeam!L27="","",HomeTeam!L27)</f>
        <v/>
      </c>
      <c r="N33" s="196" t="str">
        <f>IF(HomeTeam!M27="","",HomeTeam!M27)</f>
        <v/>
      </c>
      <c r="O33" s="196" t="str">
        <f>IF(HomeTeam!N27="","",HomeTeam!N27)</f>
        <v/>
      </c>
      <c r="P33" s="194"/>
      <c r="Q33" s="194"/>
    </row>
    <row r="34" spans="2:17" ht="15.75" customHeight="1" thickBot="1">
      <c r="B34" s="197">
        <v>35</v>
      </c>
      <c r="C34" s="197" t="s">
        <v>84</v>
      </c>
      <c r="D34" s="188">
        <f>HomeTeam!D28</f>
        <v>0</v>
      </c>
      <c r="E34" s="188">
        <f>HomeTeam!E28</f>
        <v>0</v>
      </c>
      <c r="F34" s="188">
        <f>HomeTeam!F28</f>
        <v>0</v>
      </c>
      <c r="G34" s="188">
        <f>HomeTeam!G28</f>
        <v>0</v>
      </c>
      <c r="H34" s="199"/>
      <c r="I34" s="199"/>
      <c r="J34" s="197">
        <v>36</v>
      </c>
      <c r="K34" s="200" t="s">
        <v>100</v>
      </c>
      <c r="L34" s="201" t="str">
        <f>IF(HomeTeam!K28="","",HomeTeam!K28)</f>
        <v/>
      </c>
      <c r="M34" s="201" t="str">
        <f>IF(HomeTeam!L28="","",HomeTeam!L28)</f>
        <v/>
      </c>
      <c r="N34" s="201" t="str">
        <f>IF(HomeTeam!M28="","",HomeTeam!M28)</f>
        <v/>
      </c>
      <c r="O34" s="201" t="str">
        <f>IF(HomeTeam!N28="","",HomeTeam!N28)</f>
        <v/>
      </c>
      <c r="P34" s="199"/>
      <c r="Q34" s="199"/>
    </row>
    <row r="35" spans="2:17" ht="15.75" thickBot="1">
      <c r="B35" s="319" t="s">
        <v>114</v>
      </c>
      <c r="C35" s="320"/>
      <c r="D35" s="320"/>
      <c r="E35" s="320"/>
      <c r="F35" s="320"/>
      <c r="G35" s="321"/>
      <c r="H35" s="179"/>
      <c r="I35" s="179"/>
      <c r="J35" s="319" t="s">
        <v>115</v>
      </c>
      <c r="K35" s="320"/>
      <c r="L35" s="320"/>
      <c r="M35" s="320"/>
      <c r="N35" s="320"/>
      <c r="O35" s="321"/>
      <c r="P35" s="179"/>
      <c r="Q35" s="179"/>
    </row>
    <row r="36" spans="2:17" ht="15.75" thickBot="1">
      <c r="B36" s="301" t="s">
        <v>116</v>
      </c>
      <c r="C36" s="302"/>
      <c r="D36" s="302"/>
      <c r="E36" s="302"/>
      <c r="F36" s="302"/>
      <c r="G36" s="302"/>
      <c r="H36" s="302"/>
      <c r="I36" s="302"/>
      <c r="J36" s="302"/>
      <c r="K36" s="302"/>
      <c r="L36" s="302"/>
      <c r="M36" s="302"/>
      <c r="N36" s="302"/>
      <c r="O36" s="303"/>
      <c r="P36" s="181"/>
      <c r="Q36" s="181"/>
    </row>
    <row r="37" spans="2:17" ht="15" customHeight="1">
      <c r="B37" s="310">
        <v>37</v>
      </c>
      <c r="C37" s="313" t="s">
        <v>47</v>
      </c>
      <c r="D37" s="190"/>
      <c r="E37" s="190"/>
      <c r="F37" s="190" t="str">
        <f>IF(HomeTeam!F29="","",HomeTeam!F29)</f>
        <v/>
      </c>
      <c r="G37" s="190" t="str">
        <f>IF(HomeTeam!G29="","",HomeTeam!G29)</f>
        <v/>
      </c>
      <c r="H37" s="304"/>
      <c r="I37" s="316"/>
      <c r="J37" s="310">
        <v>38</v>
      </c>
      <c r="K37" s="313" t="s">
        <v>49</v>
      </c>
      <c r="L37" s="190" t="str">
        <f>IF(HomeTeam!K29="","",HomeTeam!K29)</f>
        <v/>
      </c>
      <c r="M37" s="190" t="str">
        <f>IF(HomeTeam!L29="","",HomeTeam!L29)</f>
        <v/>
      </c>
      <c r="N37" s="190" t="str">
        <f>IF(HomeTeam!M29="","",HomeTeam!M29)</f>
        <v/>
      </c>
      <c r="O37" s="190" t="str">
        <f>IF(HomeTeam!N29="","",HomeTeam!N29)</f>
        <v/>
      </c>
      <c r="P37" s="304"/>
      <c r="Q37" s="307"/>
    </row>
    <row r="38" spans="2:17">
      <c r="B38" s="311"/>
      <c r="C38" s="314"/>
      <c r="D38" s="194"/>
      <c r="E38" s="194"/>
      <c r="F38" s="194" t="str">
        <f>IF(HomeTeam!F30="","",HomeTeam!F30)</f>
        <v/>
      </c>
      <c r="G38" s="194" t="str">
        <f>IF(HomeTeam!G30="","",HomeTeam!G30)</f>
        <v/>
      </c>
      <c r="H38" s="305"/>
      <c r="I38" s="317"/>
      <c r="J38" s="311"/>
      <c r="K38" s="314"/>
      <c r="L38" s="194" t="str">
        <f>IF(HomeTeam!K30="","",HomeTeam!K30)</f>
        <v/>
      </c>
      <c r="M38" s="194" t="str">
        <f>IF(HomeTeam!L30="","",HomeTeam!L30)</f>
        <v/>
      </c>
      <c r="N38" s="194" t="str">
        <f>IF(HomeTeam!M30="","",HomeTeam!M30)</f>
        <v/>
      </c>
      <c r="O38" s="194" t="str">
        <f>IF(HomeTeam!N30="","",HomeTeam!N30)</f>
        <v/>
      </c>
      <c r="P38" s="305"/>
      <c r="Q38" s="308"/>
    </row>
    <row r="39" spans="2:17">
      <c r="B39" s="311"/>
      <c r="C39" s="314"/>
      <c r="D39" s="194"/>
      <c r="E39" s="194"/>
      <c r="F39" s="194" t="str">
        <f>IF(HomeTeam!F31="","",HomeTeam!F31)</f>
        <v/>
      </c>
      <c r="G39" s="194" t="str">
        <f>IF(HomeTeam!G31="","",HomeTeam!G31)</f>
        <v/>
      </c>
      <c r="H39" s="305"/>
      <c r="I39" s="317"/>
      <c r="J39" s="311"/>
      <c r="K39" s="314"/>
      <c r="L39" s="194" t="str">
        <f>IF(HomeTeam!K31="","",HomeTeam!K31)</f>
        <v/>
      </c>
      <c r="M39" s="194" t="str">
        <f>IF(HomeTeam!L31="","",HomeTeam!L31)</f>
        <v/>
      </c>
      <c r="N39" s="194" t="str">
        <f>IF(HomeTeam!M31="","",HomeTeam!M31)</f>
        <v/>
      </c>
      <c r="O39" s="194" t="str">
        <f>IF(HomeTeam!N31="","",HomeTeam!N31)</f>
        <v/>
      </c>
      <c r="P39" s="305"/>
      <c r="Q39" s="308"/>
    </row>
    <row r="40" spans="2:17" ht="15.75" thickBot="1">
      <c r="B40" s="312"/>
      <c r="C40" s="315"/>
      <c r="D40" s="199"/>
      <c r="E40" s="199"/>
      <c r="F40" s="199" t="str">
        <f>IF(HomeTeam!F32="","",HomeTeam!F32)</f>
        <v/>
      </c>
      <c r="G40" s="199" t="str">
        <f>IF(HomeTeam!G32="","",HomeTeam!G32)</f>
        <v/>
      </c>
      <c r="H40" s="306"/>
      <c r="I40" s="318"/>
      <c r="J40" s="312"/>
      <c r="K40" s="315"/>
      <c r="L40" s="199" t="str">
        <f>IF(HomeTeam!K32="","",HomeTeam!K32)</f>
        <v/>
      </c>
      <c r="M40" s="199" t="str">
        <f>IF(HomeTeam!L32="","",HomeTeam!L32)</f>
        <v/>
      </c>
      <c r="N40" s="199" t="str">
        <f>IF(HomeTeam!M32="","",HomeTeam!M32)</f>
        <v/>
      </c>
      <c r="O40" s="199" t="str">
        <f>IF(HomeTeam!N32="","",HomeTeam!N32)</f>
        <v/>
      </c>
      <c r="P40" s="306"/>
      <c r="Q40" s="309"/>
    </row>
    <row r="41" spans="2:17" ht="15" customHeight="1">
      <c r="B41" s="310">
        <v>39</v>
      </c>
      <c r="C41" s="313" t="s">
        <v>48</v>
      </c>
      <c r="D41" s="190"/>
      <c r="E41" s="190"/>
      <c r="F41" s="190" t="str">
        <f>IF(HomeTeam!F33="","",HomeTeam!F33)</f>
        <v/>
      </c>
      <c r="G41" s="190" t="str">
        <f>IF(HomeTeam!G33="","",HomeTeam!G33)</f>
        <v/>
      </c>
      <c r="H41" s="304"/>
      <c r="I41" s="316"/>
      <c r="J41" s="310">
        <v>40</v>
      </c>
      <c r="K41" s="313" t="s">
        <v>50</v>
      </c>
      <c r="L41" s="190" t="str">
        <f>IF(HomeTeam!K33="","",HomeTeam!K33)</f>
        <v/>
      </c>
      <c r="M41" s="190" t="str">
        <f>IF(HomeTeam!L33="","",HomeTeam!L33)</f>
        <v/>
      </c>
      <c r="N41" s="190" t="str">
        <f>IF(HomeTeam!M33="","",HomeTeam!M33)</f>
        <v/>
      </c>
      <c r="O41" s="190" t="str">
        <f>IF(HomeTeam!N33="","",HomeTeam!N33)</f>
        <v/>
      </c>
      <c r="P41" s="304"/>
      <c r="Q41" s="307"/>
    </row>
    <row r="42" spans="2:17">
      <c r="B42" s="311"/>
      <c r="C42" s="314"/>
      <c r="D42" s="194"/>
      <c r="E42" s="194"/>
      <c r="F42" s="194" t="str">
        <f>IF(HomeTeam!F34="","",HomeTeam!F34)</f>
        <v/>
      </c>
      <c r="G42" s="194" t="str">
        <f>IF(HomeTeam!G34="","",HomeTeam!G34)</f>
        <v/>
      </c>
      <c r="H42" s="305"/>
      <c r="I42" s="317"/>
      <c r="J42" s="311"/>
      <c r="K42" s="314"/>
      <c r="L42" s="194" t="str">
        <f>IF(HomeTeam!K34="","",HomeTeam!K34)</f>
        <v/>
      </c>
      <c r="M42" s="194" t="str">
        <f>IF(HomeTeam!L34="","",HomeTeam!L34)</f>
        <v/>
      </c>
      <c r="N42" s="194" t="str">
        <f>IF(HomeTeam!M34="","",HomeTeam!M34)</f>
        <v/>
      </c>
      <c r="O42" s="194" t="str">
        <f>IF(HomeTeam!N34="","",HomeTeam!N34)</f>
        <v/>
      </c>
      <c r="P42" s="305"/>
      <c r="Q42" s="308"/>
    </row>
    <row r="43" spans="2:17">
      <c r="B43" s="311"/>
      <c r="C43" s="314"/>
      <c r="D43" s="194"/>
      <c r="E43" s="194"/>
      <c r="F43" s="194" t="str">
        <f>IF(HomeTeam!F35="","",HomeTeam!F35)</f>
        <v/>
      </c>
      <c r="G43" s="194" t="str">
        <f>IF(HomeTeam!G35="","",HomeTeam!G35)</f>
        <v/>
      </c>
      <c r="H43" s="305"/>
      <c r="I43" s="317"/>
      <c r="J43" s="311"/>
      <c r="K43" s="314"/>
      <c r="L43" s="194" t="str">
        <f>IF(HomeTeam!K35="","",HomeTeam!K35)</f>
        <v/>
      </c>
      <c r="M43" s="194" t="str">
        <f>IF(HomeTeam!L35="","",HomeTeam!L35)</f>
        <v/>
      </c>
      <c r="N43" s="194" t="str">
        <f>IF(HomeTeam!M35="","",HomeTeam!M35)</f>
        <v/>
      </c>
      <c r="O43" s="194" t="str">
        <f>IF(HomeTeam!N35="","",HomeTeam!N35)</f>
        <v/>
      </c>
      <c r="P43" s="305"/>
      <c r="Q43" s="308"/>
    </row>
    <row r="44" spans="2:17" ht="15.75" thickBot="1">
      <c r="B44" s="312"/>
      <c r="C44" s="315"/>
      <c r="D44" s="199"/>
      <c r="E44" s="199"/>
      <c r="F44" s="199" t="str">
        <f>IF(HomeTeam!F36="","",HomeTeam!F36)</f>
        <v/>
      </c>
      <c r="G44" s="199" t="str">
        <f>IF(HomeTeam!G36="","",HomeTeam!G36)</f>
        <v/>
      </c>
      <c r="H44" s="306"/>
      <c r="I44" s="318"/>
      <c r="J44" s="312"/>
      <c r="K44" s="315"/>
      <c r="L44" s="199" t="str">
        <f>IF(HomeTeam!K36="","",HomeTeam!K36)</f>
        <v/>
      </c>
      <c r="M44" s="199" t="str">
        <f>IF(HomeTeam!L36="","",HomeTeam!L36)</f>
        <v/>
      </c>
      <c r="N44" s="199" t="str">
        <f>IF(HomeTeam!M36="","",HomeTeam!M36)</f>
        <v/>
      </c>
      <c r="O44" s="199" t="str">
        <f>IF(HomeTeam!N36="","",HomeTeam!N36)</f>
        <v/>
      </c>
      <c r="P44" s="306"/>
      <c r="Q44" s="309"/>
    </row>
    <row r="45" spans="2:17" ht="15.75" thickBot="1">
      <c r="B45" s="301" t="s">
        <v>117</v>
      </c>
      <c r="C45" s="302"/>
      <c r="D45" s="302"/>
      <c r="E45" s="302"/>
      <c r="F45" s="302"/>
      <c r="G45" s="302"/>
      <c r="H45" s="302"/>
      <c r="I45" s="302"/>
      <c r="J45" s="302"/>
      <c r="K45" s="302"/>
      <c r="L45" s="302"/>
      <c r="M45" s="302"/>
      <c r="N45" s="302"/>
      <c r="O45" s="303"/>
      <c r="P45" s="181"/>
      <c r="Q45" s="181"/>
    </row>
    <row r="46" spans="2:17" ht="15.75" thickBot="1">
      <c r="B46" s="301" t="s">
        <v>118</v>
      </c>
      <c r="C46" s="302"/>
      <c r="D46" s="302"/>
      <c r="E46" s="302"/>
      <c r="F46" s="302"/>
      <c r="G46" s="302"/>
      <c r="H46" s="302"/>
      <c r="I46" s="302"/>
      <c r="J46" s="302"/>
      <c r="K46" s="302"/>
      <c r="L46" s="302"/>
      <c r="M46" s="302"/>
      <c r="N46" s="302"/>
      <c r="O46" s="303"/>
      <c r="P46" s="181"/>
      <c r="Q46" s="181"/>
    </row>
  </sheetData>
  <mergeCells count="49">
    <mergeCell ref="B1:C1"/>
    <mergeCell ref="D1:E1"/>
    <mergeCell ref="B4:B7"/>
    <mergeCell ref="C4:C7"/>
    <mergeCell ref="H4:H7"/>
    <mergeCell ref="J4:J7"/>
    <mergeCell ref="K4:K7"/>
    <mergeCell ref="P4:P7"/>
    <mergeCell ref="Q4:Q7"/>
    <mergeCell ref="B8:B11"/>
    <mergeCell ref="C8:C11"/>
    <mergeCell ref="H8:H11"/>
    <mergeCell ref="I8:I11"/>
    <mergeCell ref="J8:J11"/>
    <mergeCell ref="K8:K11"/>
    <mergeCell ref="I4:I7"/>
    <mergeCell ref="B30:O30"/>
    <mergeCell ref="P8:P11"/>
    <mergeCell ref="Q8:Q11"/>
    <mergeCell ref="B12:O12"/>
    <mergeCell ref="B17:G17"/>
    <mergeCell ref="J17:O17"/>
    <mergeCell ref="B18:O18"/>
    <mergeCell ref="B23:G23"/>
    <mergeCell ref="J23:O23"/>
    <mergeCell ref="B24:O24"/>
    <mergeCell ref="B29:G29"/>
    <mergeCell ref="J29:O29"/>
    <mergeCell ref="B35:G35"/>
    <mergeCell ref="J35:O35"/>
    <mergeCell ref="B36:O36"/>
    <mergeCell ref="B37:B40"/>
    <mergeCell ref="C37:C40"/>
    <mergeCell ref="H37:H40"/>
    <mergeCell ref="I37:I40"/>
    <mergeCell ref="J37:J40"/>
    <mergeCell ref="K37:K40"/>
    <mergeCell ref="B45:O45"/>
    <mergeCell ref="B46:O46"/>
    <mergeCell ref="P37:P40"/>
    <mergeCell ref="Q37:Q40"/>
    <mergeCell ref="B41:B44"/>
    <mergeCell ref="C41:C44"/>
    <mergeCell ref="H41:H44"/>
    <mergeCell ref="I41:I44"/>
    <mergeCell ref="J41:J44"/>
    <mergeCell ref="K41:K44"/>
    <mergeCell ref="P41:P44"/>
    <mergeCell ref="Q41:Q44"/>
  </mergeCells>
  <pageMargins left="0.43307086614173229" right="0.23622047244094491" top="0.35433070866141736" bottom="0.35433070866141736" header="0.11811023622047245" footer="0.11811023622047245"/>
  <pageSetup paperSize="9" scale="72" orientation="landscape"/>
  <headerFooter alignWithMargins="0">
    <oddHeader>&amp;CLisburn  v  Ards</oddHeader>
    <oddFooter>&amp;CPERSONAL AND CONFIDENTIAL</oddFooter>
  </headerFooter>
</worksheet>
</file>

<file path=xl/worksheets/sheet5.xml><?xml version="1.0" encoding="utf-8"?>
<worksheet xmlns="http://schemas.openxmlformats.org/spreadsheetml/2006/main" xmlns:r="http://schemas.openxmlformats.org/officeDocument/2006/relationships">
  <sheetPr>
    <pageSetUpPr fitToPage="1"/>
  </sheetPr>
  <dimension ref="B1:Q46"/>
  <sheetViews>
    <sheetView topLeftCell="A22" zoomScale="90" zoomScaleNormal="90" workbookViewId="0">
      <selection activeCell="E43" sqref="E43"/>
    </sheetView>
  </sheetViews>
  <sheetFormatPr defaultRowHeight="15"/>
  <cols>
    <col min="1" max="1" width="2.42578125" style="72" customWidth="1"/>
    <col min="2" max="2" width="4.28515625" style="73" customWidth="1"/>
    <col min="3" max="3" width="14.28515625" style="72" customWidth="1"/>
    <col min="4" max="7" width="16.7109375" style="72" customWidth="1"/>
    <col min="8" max="8" width="3.42578125" style="176" customWidth="1"/>
    <col min="9" max="9" width="3.7109375" style="176" customWidth="1"/>
    <col min="10" max="10" width="4.28515625" style="73" customWidth="1"/>
    <col min="11" max="11" width="14.140625" style="72" customWidth="1"/>
    <col min="12" max="15" width="16.7109375" style="72" customWidth="1"/>
    <col min="16" max="16" width="3.42578125" style="176" customWidth="1"/>
    <col min="17" max="17" width="3.7109375" style="176" customWidth="1"/>
    <col min="18" max="16384" width="9.140625" style="72"/>
  </cols>
  <sheetData>
    <row r="1" spans="2:17" ht="15.75" thickBot="1">
      <c r="B1" s="325" t="s">
        <v>102</v>
      </c>
      <c r="C1" s="326"/>
      <c r="D1" s="329" t="str">
        <f>AwayTeam!D2</f>
        <v>Limavady</v>
      </c>
      <c r="E1" s="330"/>
      <c r="G1" s="176"/>
      <c r="J1" s="178"/>
      <c r="K1" s="176"/>
    </row>
    <row r="2" spans="2:17" ht="15.75" thickBot="1">
      <c r="G2" s="176"/>
      <c r="J2" s="177"/>
      <c r="K2" s="176"/>
    </row>
    <row r="3" spans="2:17" s="75" customFormat="1" ht="32.25" thickBot="1">
      <c r="B3" s="185" t="s">
        <v>103</v>
      </c>
      <c r="C3" s="186" t="s">
        <v>0</v>
      </c>
      <c r="D3" s="186" t="s">
        <v>31</v>
      </c>
      <c r="E3" s="186" t="s">
        <v>32</v>
      </c>
      <c r="F3" s="186" t="s">
        <v>33</v>
      </c>
      <c r="G3" s="186" t="s">
        <v>51</v>
      </c>
      <c r="H3" s="183" t="s">
        <v>101</v>
      </c>
      <c r="I3" s="182" t="s">
        <v>7</v>
      </c>
      <c r="J3" s="187" t="s">
        <v>103</v>
      </c>
      <c r="K3" s="187" t="s">
        <v>0</v>
      </c>
      <c r="L3" s="186" t="s">
        <v>31</v>
      </c>
      <c r="M3" s="186" t="s">
        <v>32</v>
      </c>
      <c r="N3" s="186" t="s">
        <v>33</v>
      </c>
      <c r="O3" s="186" t="s">
        <v>51</v>
      </c>
      <c r="P3" s="183" t="s">
        <v>101</v>
      </c>
      <c r="Q3" s="180" t="s">
        <v>7</v>
      </c>
    </row>
    <row r="4" spans="2:17">
      <c r="B4" s="310">
        <v>1</v>
      </c>
      <c r="C4" s="313" t="s">
        <v>43</v>
      </c>
      <c r="D4" s="190" t="str">
        <f>IF(AwayTeam!D5="","",AwayTeam!D5)</f>
        <v>Grace Gallagher</v>
      </c>
      <c r="E4" s="190" t="str">
        <f>IF(AwayTeam!E5="","",AwayTeam!E5)</f>
        <v>Tom Cormie</v>
      </c>
      <c r="F4" s="190" t="str">
        <f>IF(AwayTeam!F5="","",AwayTeam!F5)</f>
        <v>Isobella Mc Carron</v>
      </c>
      <c r="G4" s="190" t="str">
        <f>IF(AwayTeam!G5="","",AwayTeam!G5)</f>
        <v>Aodhan Gallagher</v>
      </c>
      <c r="H4" s="304"/>
      <c r="I4" s="316"/>
      <c r="J4" s="310">
        <v>2</v>
      </c>
      <c r="K4" s="313" t="s">
        <v>45</v>
      </c>
      <c r="L4" s="190" t="str">
        <f>IF(AwayTeam!K5="","",AwayTeam!K5)</f>
        <v>Eva Campbell</v>
      </c>
      <c r="M4" s="190" t="str">
        <f>IF(AwayTeam!L5="","",AwayTeam!L5)</f>
        <v>Emma Gallagher</v>
      </c>
      <c r="N4" s="190" t="str">
        <f>IF(AwayTeam!M5="","",AwayTeam!M5)</f>
        <v>Otis Irwin</v>
      </c>
      <c r="O4" s="190" t="str">
        <f>IF(AwayTeam!N5="","",AwayTeam!N5)</f>
        <v>Luke Blair</v>
      </c>
      <c r="P4" s="304"/>
      <c r="Q4" s="307"/>
    </row>
    <row r="5" spans="2:17">
      <c r="B5" s="311"/>
      <c r="C5" s="314"/>
      <c r="D5" s="194" t="str">
        <f>IF(AwayTeam!D6="","",AwayTeam!D6)</f>
        <v>Jack Mc Gookin</v>
      </c>
      <c r="E5" s="194" t="str">
        <f>IF(AwayTeam!E6="","",AwayTeam!E6)</f>
        <v>Henry Connell</v>
      </c>
      <c r="F5" s="194" t="str">
        <f>IF(AwayTeam!F6="","",AwayTeam!F6)</f>
        <v>Harry Butcher</v>
      </c>
      <c r="G5" s="194" t="str">
        <f>IF(AwayTeam!G6="","",AwayTeam!G6)</f>
        <v>Ollie Mc Macken</v>
      </c>
      <c r="H5" s="305"/>
      <c r="I5" s="317"/>
      <c r="J5" s="311"/>
      <c r="K5" s="314"/>
      <c r="L5" s="194" t="str">
        <f>IF(AwayTeam!K6="","",AwayTeam!K6)</f>
        <v>Cody Blair</v>
      </c>
      <c r="M5" s="194" t="str">
        <f>IF(AwayTeam!L6="","",AwayTeam!L6)</f>
        <v>Alice Cladwell</v>
      </c>
      <c r="N5" s="194" t="str">
        <f>IF(AwayTeam!M6="","",AwayTeam!M6)</f>
        <v>Grace Gallagher</v>
      </c>
      <c r="O5" s="194" t="str">
        <f>IF(AwayTeam!N6="","",AwayTeam!N6)</f>
        <v>Ollie Mc Mc Macken</v>
      </c>
      <c r="P5" s="305"/>
      <c r="Q5" s="308"/>
    </row>
    <row r="6" spans="2:17">
      <c r="B6" s="311"/>
      <c r="C6" s="314"/>
      <c r="D6" s="194" t="str">
        <f>IF(AwayTeam!D7="","",AwayTeam!D7)</f>
        <v>Caelyn O Connor</v>
      </c>
      <c r="E6" s="194" t="str">
        <f>IF(AwayTeam!E7="","",AwayTeam!E7)</f>
        <v>Miya Mc Clamont</v>
      </c>
      <c r="F6" s="194" t="str">
        <f>IF(AwayTeam!F7="","",AwayTeam!F7)</f>
        <v>Maise Campbell</v>
      </c>
      <c r="G6" s="194" t="str">
        <f>IF(AwayTeam!G7="","",AwayTeam!G7)</f>
        <v>Luke Blair</v>
      </c>
      <c r="H6" s="305"/>
      <c r="I6" s="317"/>
      <c r="J6" s="311"/>
      <c r="K6" s="314"/>
      <c r="L6" s="194" t="str">
        <f>IF(AwayTeam!K7="","",AwayTeam!K7)</f>
        <v>Charlie Whiteside</v>
      </c>
      <c r="M6" s="194" t="str">
        <f>IF(AwayTeam!L7="","",AwayTeam!L7)</f>
        <v>Sam S H</v>
      </c>
      <c r="N6" s="194" t="str">
        <f>IF(AwayTeam!M7="","",AwayTeam!M7)</f>
        <v>Toby Dinsmore</v>
      </c>
      <c r="O6" s="194" t="str">
        <f>IF(AwayTeam!N7="","",AwayTeam!N7)</f>
        <v>Kensa Lawry</v>
      </c>
      <c r="P6" s="305"/>
      <c r="Q6" s="308"/>
    </row>
    <row r="7" spans="2:17" ht="15.75" thickBot="1">
      <c r="B7" s="312"/>
      <c r="C7" s="315"/>
      <c r="D7" s="199" t="str">
        <f>IF(AwayTeam!D8="","",AwayTeam!D8)</f>
        <v>Eoin Mc Alinden</v>
      </c>
      <c r="E7" s="199" t="str">
        <f>IF(AwayTeam!E8="","",AwayTeam!E8)</f>
        <v>Fiona O Neill</v>
      </c>
      <c r="F7" s="199" t="str">
        <f>IF(AwayTeam!F8="","",AwayTeam!F8)</f>
        <v>Jamie Mellon</v>
      </c>
      <c r="G7" s="199" t="str">
        <f>IF(AwayTeam!G8="","",AwayTeam!G8)</f>
        <v>Adam Gallagher</v>
      </c>
      <c r="H7" s="306"/>
      <c r="I7" s="318"/>
      <c r="J7" s="312"/>
      <c r="K7" s="315"/>
      <c r="L7" s="194" t="str">
        <f>IF(AwayTeam!K8="","",AwayTeam!K8)</f>
        <v>Sofie Halcrow</v>
      </c>
      <c r="M7" s="194" t="str">
        <f>IF(AwayTeam!L8="","",AwayTeam!L8)</f>
        <v>Kevin Mc Macken</v>
      </c>
      <c r="N7" s="194" t="str">
        <f>IF(AwayTeam!M8="","",AwayTeam!M8)</f>
        <v/>
      </c>
      <c r="O7" s="194" t="str">
        <f>IF(AwayTeam!N8="","",AwayTeam!N8)</f>
        <v/>
      </c>
      <c r="P7" s="306"/>
      <c r="Q7" s="309"/>
    </row>
    <row r="8" spans="2:17">
      <c r="B8" s="310">
        <v>3</v>
      </c>
      <c r="C8" s="313" t="s">
        <v>44</v>
      </c>
      <c r="D8" s="190" t="str">
        <f>IF(AwayTeam!D9="","",AwayTeam!D9)</f>
        <v>Emilia Kingston</v>
      </c>
      <c r="E8" s="190" t="str">
        <f>IF(AwayTeam!E9="","",AwayTeam!E9)</f>
        <v>Oliver Smith</v>
      </c>
      <c r="F8" s="190" t="str">
        <f>IF(AwayTeam!F9="","",AwayTeam!F9)</f>
        <v>Evie Connor</v>
      </c>
      <c r="G8" s="190" t="str">
        <f>IF(AwayTeam!G9="","",AwayTeam!G9)</f>
        <v>Clea Moore</v>
      </c>
      <c r="H8" s="304"/>
      <c r="I8" s="316"/>
      <c r="J8" s="310">
        <v>4</v>
      </c>
      <c r="K8" s="313" t="s">
        <v>46</v>
      </c>
      <c r="L8" s="190" t="str">
        <f>IF(AwayTeam!K9="","",AwayTeam!K9)</f>
        <v>Erin Callaghan</v>
      </c>
      <c r="M8" s="190" t="str">
        <f>IF(AwayTeam!L9="","",AwayTeam!L9)</f>
        <v>Emily Butcher</v>
      </c>
      <c r="N8" s="190" t="str">
        <f>IF(AwayTeam!M9="","",AwayTeam!M9)</f>
        <v>Charlie Whiteside</v>
      </c>
      <c r="O8" s="190" t="str">
        <f>IF(AwayTeam!N9="","",AwayTeam!N9)</f>
        <v>Cara Gallagher</v>
      </c>
      <c r="P8" s="304"/>
      <c r="Q8" s="307"/>
    </row>
    <row r="9" spans="2:17">
      <c r="B9" s="311"/>
      <c r="C9" s="314"/>
      <c r="D9" s="194" t="str">
        <f>IF(AwayTeam!D10="","",AwayTeam!D10)</f>
        <v>Alexander Blaha</v>
      </c>
      <c r="E9" s="194" t="str">
        <f>IF(AwayTeam!E10="","",AwayTeam!E10)</f>
        <v>Brooke Mc Clamont</v>
      </c>
      <c r="F9" s="194" t="str">
        <f>IF(AwayTeam!F10="","",AwayTeam!F10)</f>
        <v>Kensa Lawry</v>
      </c>
      <c r="G9" s="194" t="str">
        <f>IF(AwayTeam!G10="","",AwayTeam!G10)</f>
        <v/>
      </c>
      <c r="H9" s="305"/>
      <c r="I9" s="317"/>
      <c r="J9" s="311"/>
      <c r="K9" s="314"/>
      <c r="L9" s="194" t="str">
        <f>IF(AwayTeam!K10="","",AwayTeam!K10)</f>
        <v>Rose Mc Laughlin</v>
      </c>
      <c r="M9" s="194" t="str">
        <f>IF(AwayTeam!L10="","",AwayTeam!L10)</f>
        <v>Alex Whiteside</v>
      </c>
      <c r="N9" s="194" t="str">
        <f>IF(AwayTeam!M10="","",AwayTeam!M10)</f>
        <v>Annaleece Hetherington</v>
      </c>
      <c r="O9" s="194" t="str">
        <f>IF(AwayTeam!N10="","",AwayTeam!N10)</f>
        <v>Rebecca Sweeny</v>
      </c>
      <c r="P9" s="305"/>
      <c r="Q9" s="308"/>
    </row>
    <row r="10" spans="2:17">
      <c r="B10" s="311"/>
      <c r="C10" s="314"/>
      <c r="D10" s="194" t="str">
        <f>IF(AwayTeam!D11="","",AwayTeam!D11)</f>
        <v>Lewis Robinson</v>
      </c>
      <c r="E10" s="194" t="str">
        <f>IF(AwayTeam!E11="","",AwayTeam!E11)</f>
        <v>Anna Mc Gookin</v>
      </c>
      <c r="F10" s="194" t="str">
        <f>IF(AwayTeam!F11="","",AwayTeam!F11)</f>
        <v>Tom Mc Shane</v>
      </c>
      <c r="G10" s="194" t="str">
        <f>IF(AwayTeam!G11="","",AwayTeam!G11)</f>
        <v>Annaleece Hetherington</v>
      </c>
      <c r="H10" s="305"/>
      <c r="I10" s="317"/>
      <c r="J10" s="311"/>
      <c r="K10" s="314"/>
      <c r="L10" s="216" t="str">
        <f>IF(AwayTeam!K11="","",AwayTeam!K11)</f>
        <v>Joshua Hunt</v>
      </c>
      <c r="M10" s="216" t="str">
        <f>IF(AwayTeam!L11="","",AwayTeam!L11)</f>
        <v>Abbi Craig</v>
      </c>
      <c r="N10" s="216" t="str">
        <f>IF(AwayTeam!M11="","",AwayTeam!M11)</f>
        <v>Niamh Mc Henry</v>
      </c>
      <c r="O10" s="216" t="str">
        <f>IF(AwayTeam!N11="","",AwayTeam!N11)</f>
        <v/>
      </c>
      <c r="P10" s="305"/>
      <c r="Q10" s="308"/>
    </row>
    <row r="11" spans="2:17" ht="15.75" thickBot="1">
      <c r="B11" s="312"/>
      <c r="C11" s="315"/>
      <c r="D11" s="199" t="str">
        <f>IF(AwayTeam!D12="","",AwayTeam!D12)</f>
        <v>Amy Mc Gurk</v>
      </c>
      <c r="E11" s="199" t="str">
        <f>IF(AwayTeam!E12="","",AwayTeam!E12)</f>
        <v>Cailean Gallagher</v>
      </c>
      <c r="F11" s="199" t="str">
        <f>IF(AwayTeam!F12="","",AwayTeam!F12)</f>
        <v>Otis Irwin</v>
      </c>
      <c r="G11" s="199" t="str">
        <f>IF(AwayTeam!G12="","",AwayTeam!G12)</f>
        <v>Ellen Gibbons</v>
      </c>
      <c r="H11" s="306"/>
      <c r="I11" s="318"/>
      <c r="J11" s="312"/>
      <c r="K11" s="315"/>
      <c r="L11" s="199" t="str">
        <f>IF(AwayTeam!K12="","",AwayTeam!K12)</f>
        <v>Jude Williams</v>
      </c>
      <c r="M11" s="199" t="str">
        <f>IF(AwayTeam!L12="","",AwayTeam!L12)</f>
        <v>Ben Dinsmore</v>
      </c>
      <c r="N11" s="199" t="str">
        <f>IF(AwayTeam!M12="","",AwayTeam!M12)</f>
        <v>Tom Mc Shane</v>
      </c>
      <c r="O11" s="199" t="str">
        <f>IF(AwayTeam!N12="","",AwayTeam!N12)</f>
        <v>Evie Connor</v>
      </c>
      <c r="P11" s="306"/>
      <c r="Q11" s="309"/>
    </row>
    <row r="12" spans="2:17" ht="15.75" thickBot="1">
      <c r="B12" s="322" t="s">
        <v>106</v>
      </c>
      <c r="C12" s="323"/>
      <c r="D12" s="323"/>
      <c r="E12" s="323"/>
      <c r="F12" s="323"/>
      <c r="G12" s="323"/>
      <c r="H12" s="302"/>
      <c r="I12" s="302"/>
      <c r="J12" s="323"/>
      <c r="K12" s="323"/>
      <c r="L12" s="323"/>
      <c r="M12" s="323"/>
      <c r="N12" s="323"/>
      <c r="O12" s="324"/>
      <c r="P12" s="181"/>
      <c r="Q12" s="181"/>
    </row>
    <row r="13" spans="2:17" ht="15.75" customHeight="1">
      <c r="B13" s="189">
        <v>5</v>
      </c>
      <c r="C13" s="189" t="s">
        <v>69</v>
      </c>
      <c r="D13" s="188" t="str">
        <f>IF(AwayTeam!D13="","",AwayTeam!D13)</f>
        <v>Caelyn O Connor</v>
      </c>
      <c r="E13" s="188" t="str">
        <f>IF(AwayTeam!E13="","",AwayTeam!E13)</f>
        <v>Miya Mc Clamont</v>
      </c>
      <c r="F13" s="188" t="str">
        <f>IF(AwayTeam!F13="","",AwayTeam!F13)</f>
        <v>Grace Gallagher</v>
      </c>
      <c r="G13" s="188" t="str">
        <f>IF(AwayTeam!G13="","",AwayTeam!G13)</f>
        <v>Maise Campbell</v>
      </c>
      <c r="H13" s="190"/>
      <c r="I13" s="190"/>
      <c r="J13" s="189">
        <v>6</v>
      </c>
      <c r="K13" s="191" t="s">
        <v>85</v>
      </c>
      <c r="L13" s="192" t="str">
        <f>IF(AwayTeam!K13="","",AwayTeam!K13)</f>
        <v>Henry Connell</v>
      </c>
      <c r="M13" s="192" t="str">
        <f>IF(AwayTeam!L13="","",AwayTeam!L13)</f>
        <v>Tom Cormie</v>
      </c>
      <c r="N13" s="192" t="str">
        <f>IF(AwayTeam!M13="","",AwayTeam!M13)</f>
        <v>Harry Butcher</v>
      </c>
      <c r="O13" s="192" t="str">
        <f>IF(AwayTeam!N13="","",AwayTeam!N13)</f>
        <v>Aodhan Gallagher</v>
      </c>
      <c r="P13" s="190"/>
      <c r="Q13" s="190"/>
    </row>
    <row r="14" spans="2:17" ht="15.75" customHeight="1">
      <c r="B14" s="193">
        <v>7</v>
      </c>
      <c r="C14" s="193" t="s">
        <v>70</v>
      </c>
      <c r="D14" s="184" t="str">
        <f>IF(AwayTeam!D14="","",AwayTeam!D14)</f>
        <v>Emma Gallagher</v>
      </c>
      <c r="E14" s="184" t="str">
        <f>IF(AwayTeam!E14="","",AwayTeam!E14)</f>
        <v>Alice Cladwell</v>
      </c>
      <c r="F14" s="184" t="str">
        <f>IF(AwayTeam!F14="","",AwayTeam!F14)</f>
        <v>Sofie Halcrow</v>
      </c>
      <c r="G14" s="184" t="str">
        <f>IF(AwayTeam!G14="","",AwayTeam!G14)</f>
        <v>Eva Campell</v>
      </c>
      <c r="H14" s="194"/>
      <c r="I14" s="194"/>
      <c r="J14" s="193">
        <v>8</v>
      </c>
      <c r="K14" s="195" t="s">
        <v>86</v>
      </c>
      <c r="L14" s="196" t="str">
        <f>IF(AwayTeam!K14="","",AwayTeam!K14)</f>
        <v>Kevin Mc Macken</v>
      </c>
      <c r="M14" s="196" t="str">
        <f>IF(AwayTeam!L14="","",AwayTeam!L14)</f>
        <v>Sam S H</v>
      </c>
      <c r="N14" s="196" t="str">
        <f>IF(AwayTeam!M14="","",AwayTeam!M14)</f>
        <v>Toby Dinsmore</v>
      </c>
      <c r="O14" s="196" t="str">
        <f>IF(AwayTeam!N14="","",AwayTeam!N14)</f>
        <v>Cody Blair</v>
      </c>
      <c r="P14" s="194"/>
      <c r="Q14" s="194"/>
    </row>
    <row r="15" spans="2:17" ht="15.75" customHeight="1">
      <c r="B15" s="193">
        <v>9</v>
      </c>
      <c r="C15" s="193" t="s">
        <v>71</v>
      </c>
      <c r="D15" s="184" t="str">
        <f>IF(AwayTeam!D15="","",AwayTeam!D15)</f>
        <v>Brooke Mc Clamont</v>
      </c>
      <c r="E15" s="184" t="str">
        <f>IF(AwayTeam!E15="","",AwayTeam!E15)</f>
        <v>Anna Mc Gookin</v>
      </c>
      <c r="F15" s="184" t="str">
        <f>IF(AwayTeam!F15="","",AwayTeam!F15)</f>
        <v>Emila Kingston</v>
      </c>
      <c r="G15" s="184" t="str">
        <f>IF(AwayTeam!G15="","",AwayTeam!G15)</f>
        <v>Clea Moore</v>
      </c>
      <c r="H15" s="194"/>
      <c r="I15" s="194"/>
      <c r="J15" s="193">
        <v>10</v>
      </c>
      <c r="K15" s="195" t="s">
        <v>87</v>
      </c>
      <c r="L15" s="196" t="str">
        <f>IF(AwayTeam!K15="","",AwayTeam!K15)</f>
        <v>Oliver Smith</v>
      </c>
      <c r="M15" s="196" t="str">
        <f>IF(AwayTeam!L15="","",AwayTeam!L15)</f>
        <v>Cailean Gallagher</v>
      </c>
      <c r="N15" s="196" t="str">
        <f>IF(AwayTeam!M15="","",AwayTeam!M15)</f>
        <v>Alexander Blaha</v>
      </c>
      <c r="O15" s="196" t="str">
        <f>IF(AwayTeam!N15="","",AwayTeam!N15)</f>
        <v>Tom Mc Shane</v>
      </c>
      <c r="P15" s="194"/>
      <c r="Q15" s="194"/>
    </row>
    <row r="16" spans="2:17" ht="15.75" customHeight="1" thickBot="1">
      <c r="B16" s="197">
        <v>11</v>
      </c>
      <c r="C16" s="197" t="s">
        <v>72</v>
      </c>
      <c r="D16" s="198" t="str">
        <f>IF(AwayTeam!D16="","",AwayTeam!D16)</f>
        <v>Abbi Craig</v>
      </c>
      <c r="E16" s="198" t="str">
        <f>IF(AwayTeam!E16="","",AwayTeam!E16)</f>
        <v>Emily Butcher</v>
      </c>
      <c r="F16" s="198" t="str">
        <f>IF(AwayTeam!F16="","",AwayTeam!F16)</f>
        <v>Erin Callaghan</v>
      </c>
      <c r="G16" s="198" t="str">
        <f>IF(AwayTeam!G16="","",AwayTeam!G16)</f>
        <v>Niamh Mc Henry</v>
      </c>
      <c r="H16" s="199"/>
      <c r="I16" s="199"/>
      <c r="J16" s="197">
        <v>12</v>
      </c>
      <c r="K16" s="200" t="s">
        <v>88</v>
      </c>
      <c r="L16" s="201" t="str">
        <f>IF(AwayTeam!K16="","",AwayTeam!K16)</f>
        <v>Alex Whiteside</v>
      </c>
      <c r="M16" s="201" t="str">
        <f>IF(AwayTeam!L16="","",AwayTeam!L16)</f>
        <v>Ben Dinsmore</v>
      </c>
      <c r="N16" s="201" t="str">
        <f>IF(AwayTeam!M16="","",AwayTeam!M16)</f>
        <v>Jude Williams</v>
      </c>
      <c r="O16" s="201" t="str">
        <f>IF(AwayTeam!N16="","",AwayTeam!N16)</f>
        <v>Joshua Hunt</v>
      </c>
      <c r="P16" s="199"/>
      <c r="Q16" s="199"/>
    </row>
    <row r="17" spans="2:17" ht="15.75" thickBot="1">
      <c r="B17" s="319" t="s">
        <v>104</v>
      </c>
      <c r="C17" s="320"/>
      <c r="D17" s="320"/>
      <c r="E17" s="320"/>
      <c r="F17" s="320"/>
      <c r="G17" s="321"/>
      <c r="H17" s="179"/>
      <c r="I17" s="179"/>
      <c r="J17" s="319" t="s">
        <v>105</v>
      </c>
      <c r="K17" s="320"/>
      <c r="L17" s="320"/>
      <c r="M17" s="320"/>
      <c r="N17" s="320"/>
      <c r="O17" s="321"/>
      <c r="P17" s="179"/>
      <c r="Q17" s="179"/>
    </row>
    <row r="18" spans="2:17" ht="15.75" thickBot="1">
      <c r="B18" s="301" t="s">
        <v>107</v>
      </c>
      <c r="C18" s="302"/>
      <c r="D18" s="302"/>
      <c r="E18" s="302"/>
      <c r="F18" s="302"/>
      <c r="G18" s="302"/>
      <c r="H18" s="302"/>
      <c r="I18" s="302"/>
      <c r="J18" s="302"/>
      <c r="K18" s="302"/>
      <c r="L18" s="302"/>
      <c r="M18" s="302"/>
      <c r="N18" s="302"/>
      <c r="O18" s="303"/>
      <c r="P18" s="181"/>
      <c r="Q18" s="181"/>
    </row>
    <row r="19" spans="2:17" ht="15.75" customHeight="1">
      <c r="B19" s="189">
        <v>13</v>
      </c>
      <c r="C19" s="189" t="s">
        <v>73</v>
      </c>
      <c r="D19" s="188" t="str">
        <f>IF(AwayTeam!D17="","",AwayTeam!D17)</f>
        <v>Fiona O Neill</v>
      </c>
      <c r="E19" s="188" t="str">
        <f>IF(AwayTeam!E17="","",AwayTeam!E17)</f>
        <v>Miya Mc Clamont</v>
      </c>
      <c r="F19" s="188" t="str">
        <f>IF(AwayTeam!F17="","",AwayTeam!F17)</f>
        <v>Maise Campbell</v>
      </c>
      <c r="G19" s="188" t="str">
        <f>IF(AwayTeam!G17="","",AwayTeam!G17)</f>
        <v>Grace Gallagher</v>
      </c>
      <c r="H19" s="190"/>
      <c r="I19" s="190"/>
      <c r="J19" s="189">
        <v>14</v>
      </c>
      <c r="K19" s="191" t="s">
        <v>89</v>
      </c>
      <c r="L19" s="192" t="str">
        <f>IF(AwayTeam!K17="","",AwayTeam!K17)</f>
        <v>Jack Mc Gookin</v>
      </c>
      <c r="M19" s="192" t="str">
        <f>IF(AwayTeam!L17="","",AwayTeam!L17)</f>
        <v>Henry Connell</v>
      </c>
      <c r="N19" s="192" t="str">
        <f>IF(AwayTeam!M17="","",AwayTeam!M17)</f>
        <v>Harry Butcher</v>
      </c>
      <c r="O19" s="192" t="str">
        <f>IF(AwayTeam!N17="","",AwayTeam!N17)</f>
        <v>Adam Gallagher</v>
      </c>
      <c r="P19" s="190"/>
      <c r="Q19" s="190"/>
    </row>
    <row r="20" spans="2:17" ht="15.75" customHeight="1">
      <c r="B20" s="193">
        <v>15</v>
      </c>
      <c r="C20" s="193" t="s">
        <v>74</v>
      </c>
      <c r="D20" s="184" t="str">
        <f>IF(AwayTeam!D18="","",AwayTeam!D18)</f>
        <v>Eva Campbell</v>
      </c>
      <c r="E20" s="184" t="str">
        <f>IF(AwayTeam!E18="","",AwayTeam!E18)</f>
        <v>Alice Cladwell</v>
      </c>
      <c r="F20" s="184" t="str">
        <f>IF(AwayTeam!F18="","",AwayTeam!F18)</f>
        <v>Emma Gallagher</v>
      </c>
      <c r="G20" s="184" t="str">
        <f>IF(AwayTeam!G18="","",AwayTeam!G18)</f>
        <v>Sofie Halcrow</v>
      </c>
      <c r="H20" s="194"/>
      <c r="I20" s="194"/>
      <c r="J20" s="193">
        <v>16</v>
      </c>
      <c r="K20" s="195" t="s">
        <v>90</v>
      </c>
      <c r="L20" s="196" t="str">
        <f>IF(AwayTeam!K18="","",AwayTeam!K18)</f>
        <v>Kevin Mc Macken</v>
      </c>
      <c r="M20" s="196" t="str">
        <f>IF(AwayTeam!L18="","",AwayTeam!L18)</f>
        <v>Sam S H</v>
      </c>
      <c r="N20" s="196" t="str">
        <f>IF(AwayTeam!M18="","",AwayTeam!M18)</f>
        <v>Otis Irwin</v>
      </c>
      <c r="O20" s="196" t="str">
        <f>IF(AwayTeam!N18="","",AwayTeam!N18)</f>
        <v>Toby Dinsmore</v>
      </c>
      <c r="P20" s="194"/>
      <c r="Q20" s="194"/>
    </row>
    <row r="21" spans="2:17" ht="15.75" customHeight="1">
      <c r="B21" s="193">
        <v>17</v>
      </c>
      <c r="C21" s="193" t="s">
        <v>75</v>
      </c>
      <c r="D21" s="184" t="str">
        <f>IF(AwayTeam!D19="","",AwayTeam!D19)</f>
        <v>Amy Mc Gurk</v>
      </c>
      <c r="E21" s="184" t="str">
        <f>IF(AwayTeam!E19="","",AwayTeam!E19)</f>
        <v>Brooke Mc Clamont</v>
      </c>
      <c r="F21" s="184" t="str">
        <f>IF(AwayTeam!F19="","",AwayTeam!F19)</f>
        <v>Kensa Lawry</v>
      </c>
      <c r="G21" s="184" t="str">
        <f>IF(AwayTeam!G19="","",AwayTeam!G19)</f>
        <v>Ellen Gibbons</v>
      </c>
      <c r="H21" s="194"/>
      <c r="I21" s="194"/>
      <c r="J21" s="193">
        <v>18</v>
      </c>
      <c r="K21" s="195" t="s">
        <v>91</v>
      </c>
      <c r="L21" s="196" t="str">
        <f>IF(AwayTeam!K19="","",AwayTeam!K19)</f>
        <v>Alexander Blaha</v>
      </c>
      <c r="M21" s="196" t="str">
        <f>IF(AwayTeam!L19="","",AwayTeam!L19)</f>
        <v>Cailean Gallagher</v>
      </c>
      <c r="N21" s="196" t="str">
        <f>IF(AwayTeam!M19="","",AwayTeam!M19)</f>
        <v>Lewis Robinson</v>
      </c>
      <c r="O21" s="196" t="str">
        <f>IF(AwayTeam!N19="","",AwayTeam!N19)</f>
        <v>Oliver Smith</v>
      </c>
      <c r="P21" s="194"/>
      <c r="Q21" s="194"/>
    </row>
    <row r="22" spans="2:17" ht="15.75" customHeight="1" thickBot="1">
      <c r="B22" s="197">
        <v>19</v>
      </c>
      <c r="C22" s="197" t="s">
        <v>76</v>
      </c>
      <c r="D22" s="198" t="str">
        <f>IF(AwayTeam!D20="","",AwayTeam!D20)</f>
        <v>Niamh Mc Henry</v>
      </c>
      <c r="E22" s="198" t="str">
        <f>IF(AwayTeam!E20="","",AwayTeam!E20)</f>
        <v>Rose Mc Laughlin</v>
      </c>
      <c r="F22" s="198" t="str">
        <f>IF(AwayTeam!F20="","",AwayTeam!F20)</f>
        <v>Annaleece Heatherington</v>
      </c>
      <c r="G22" s="198" t="str">
        <f>IF(AwayTeam!G20="","",AwayTeam!G20)</f>
        <v>Cara Gallagher</v>
      </c>
      <c r="H22" s="199"/>
      <c r="I22" s="199"/>
      <c r="J22" s="197">
        <v>20</v>
      </c>
      <c r="K22" s="200" t="s">
        <v>92</v>
      </c>
      <c r="L22" s="201" t="str">
        <f>IF(AwayTeam!K20="","",AwayTeam!K20)</f>
        <v>Jude Williams</v>
      </c>
      <c r="M22" s="201" t="str">
        <f>IF(AwayTeam!L20="","",AwayTeam!L20)</f>
        <v>Alex Whiteside</v>
      </c>
      <c r="N22" s="201" t="str">
        <f>IF(AwayTeam!M20="","",AwayTeam!M20)</f>
        <v>Joshua Hunt</v>
      </c>
      <c r="O22" s="201" t="str">
        <f>IF(AwayTeam!N20="","",AwayTeam!N20)</f>
        <v>Ben Dinsmore</v>
      </c>
      <c r="P22" s="199"/>
      <c r="Q22" s="199"/>
    </row>
    <row r="23" spans="2:17" ht="15.75" thickBot="1">
      <c r="B23" s="319" t="s">
        <v>110</v>
      </c>
      <c r="C23" s="320"/>
      <c r="D23" s="320"/>
      <c r="E23" s="320"/>
      <c r="F23" s="320"/>
      <c r="G23" s="321"/>
      <c r="H23" s="179"/>
      <c r="I23" s="179"/>
      <c r="J23" s="319" t="s">
        <v>108</v>
      </c>
      <c r="K23" s="320"/>
      <c r="L23" s="320"/>
      <c r="M23" s="320"/>
      <c r="N23" s="320"/>
      <c r="O23" s="321"/>
      <c r="P23" s="179"/>
      <c r="Q23" s="179"/>
    </row>
    <row r="24" spans="2:17" ht="15.75" thickBot="1">
      <c r="B24" s="301" t="s">
        <v>109</v>
      </c>
      <c r="C24" s="302"/>
      <c r="D24" s="302"/>
      <c r="E24" s="302"/>
      <c r="F24" s="302"/>
      <c r="G24" s="302"/>
      <c r="H24" s="302"/>
      <c r="I24" s="302"/>
      <c r="J24" s="302"/>
      <c r="K24" s="302"/>
      <c r="L24" s="302"/>
      <c r="M24" s="302"/>
      <c r="N24" s="302"/>
      <c r="O24" s="303"/>
      <c r="P24" s="181"/>
      <c r="Q24" s="181"/>
    </row>
    <row r="25" spans="2:17" ht="15.75" customHeight="1">
      <c r="B25" s="189">
        <v>21</v>
      </c>
      <c r="C25" s="189" t="s">
        <v>77</v>
      </c>
      <c r="D25" s="188" t="str">
        <f>IF(AwayTeam!D21="","",AwayTeam!D21)</f>
        <v>Fiona O Neill</v>
      </c>
      <c r="E25" s="188" t="str">
        <f>IF(AwayTeam!E21="","",AwayTeam!E21)</f>
        <v>Miya Mc Clamont</v>
      </c>
      <c r="F25" s="188" t="str">
        <f>IF(AwayTeam!F21="","",AwayTeam!F21)</f>
        <v>Caelyn O Connor</v>
      </c>
      <c r="G25" s="188" t="str">
        <f>IF(AwayTeam!G21="","",AwayTeam!G21)</f>
        <v>Isobella Mc Carron</v>
      </c>
      <c r="H25" s="190"/>
      <c r="I25" s="190"/>
      <c r="J25" s="189">
        <v>22</v>
      </c>
      <c r="K25" s="191" t="s">
        <v>93</v>
      </c>
      <c r="L25" s="192" t="str">
        <f>IF(AwayTeam!K21="","",AwayTeam!K21)</f>
        <v>Ollie Mc Mackin</v>
      </c>
      <c r="M25" s="192" t="str">
        <f>IF(AwayTeam!L21="","",AwayTeam!L21)</f>
        <v>Tom Cormie</v>
      </c>
      <c r="N25" s="192" t="str">
        <f>IF(AwayTeam!M21="","",AwayTeam!M21)</f>
        <v>Eoin Mc Alinden</v>
      </c>
      <c r="O25" s="192" t="str">
        <f>IF(AwayTeam!N21="","",AwayTeam!N21)</f>
        <v>Luke Blair</v>
      </c>
      <c r="P25" s="190"/>
      <c r="Q25" s="190"/>
    </row>
    <row r="26" spans="2:17" ht="15.75" customHeight="1">
      <c r="B26" s="193">
        <v>23</v>
      </c>
      <c r="C26" s="193" t="s">
        <v>78</v>
      </c>
      <c r="D26" s="184" t="str">
        <f>IF(AwayTeam!D22="","",AwayTeam!D22)</f>
        <v>Eva Campbell</v>
      </c>
      <c r="E26" s="184" t="str">
        <f>IF(AwayTeam!E22="","",AwayTeam!E22)</f>
        <v>Alice Cladwell</v>
      </c>
      <c r="F26" s="184" t="str">
        <f>IF(AwayTeam!F22="","",AwayTeam!F22)</f>
        <v>Sofie Halcrow</v>
      </c>
      <c r="G26" s="184" t="str">
        <f>IF(AwayTeam!G22="","",AwayTeam!G22)</f>
        <v>Emma Gallagher</v>
      </c>
      <c r="H26" s="194"/>
      <c r="I26" s="194"/>
      <c r="J26" s="193">
        <v>24</v>
      </c>
      <c r="K26" s="195" t="s">
        <v>94</v>
      </c>
      <c r="L26" s="196" t="str">
        <f>IF(AwayTeam!K22="","",AwayTeam!K22)</f>
        <v>Kevin Mc Macken</v>
      </c>
      <c r="M26" s="196" t="str">
        <f>IF(AwayTeam!L22="","",AwayTeam!L22)</f>
        <v>Sam S H</v>
      </c>
      <c r="N26" s="196" t="str">
        <f>IF(AwayTeam!M22="","",AwayTeam!M22)</f>
        <v>Charlie Whiteside</v>
      </c>
      <c r="O26" s="196" t="str">
        <f>IF(AwayTeam!N22="","",AwayTeam!N22)</f>
        <v>Otis Irwin</v>
      </c>
      <c r="P26" s="194"/>
      <c r="Q26" s="194"/>
    </row>
    <row r="27" spans="2:17" ht="15.75" customHeight="1">
      <c r="B27" s="193">
        <v>25</v>
      </c>
      <c r="C27" s="193" t="s">
        <v>79</v>
      </c>
      <c r="D27" s="184" t="str">
        <f>IF(AwayTeam!D23="","",AwayTeam!D23)</f>
        <v>Brooke Mc Clamont</v>
      </c>
      <c r="E27" s="184" t="str">
        <f>IF(AwayTeam!E23="","",AwayTeam!E23)</f>
        <v>Anna Mc Gookin</v>
      </c>
      <c r="F27" s="184" t="str">
        <f>IF(AwayTeam!F23="","",AwayTeam!F23)</f>
        <v>Amy Mc Gurk</v>
      </c>
      <c r="G27" s="184" t="str">
        <f>IF(AwayTeam!G23="","",AwayTeam!G23)</f>
        <v>Evie Connor</v>
      </c>
      <c r="H27" s="194"/>
      <c r="I27" s="194"/>
      <c r="J27" s="193">
        <v>26</v>
      </c>
      <c r="K27" s="195" t="s">
        <v>95</v>
      </c>
      <c r="L27" s="196" t="str">
        <f>IF(AwayTeam!K23="","",AwayTeam!K23)</f>
        <v>Oliver Smith</v>
      </c>
      <c r="M27" s="196" t="str">
        <f>IF(AwayTeam!L23="","",AwayTeam!L23)</f>
        <v>Cailean Gallagher</v>
      </c>
      <c r="N27" s="196" t="str">
        <f>IF(AwayTeam!M23="","",AwayTeam!M23)</f>
        <v>Lewis Robinson</v>
      </c>
      <c r="O27" s="196" t="str">
        <f>IF(AwayTeam!N23="","",AwayTeam!N23)</f>
        <v>Clea Moore</v>
      </c>
      <c r="P27" s="194"/>
      <c r="Q27" s="194"/>
    </row>
    <row r="28" spans="2:17" ht="15.75" customHeight="1" thickBot="1">
      <c r="B28" s="197">
        <v>27</v>
      </c>
      <c r="C28" s="197" t="s">
        <v>80</v>
      </c>
      <c r="D28" s="198" t="str">
        <f>IF(AwayTeam!D24="","",AwayTeam!D24)</f>
        <v>Emily Butcher</v>
      </c>
      <c r="E28" s="198" t="str">
        <f>IF(AwayTeam!E24="","",AwayTeam!E24)</f>
        <v>Abbi Craig</v>
      </c>
      <c r="F28" s="198" t="str">
        <f>IF(AwayTeam!F24="","",AwayTeam!F24)</f>
        <v>Rebecca Sweeney</v>
      </c>
      <c r="G28" s="198" t="str">
        <f>IF(AwayTeam!G24="","",AwayTeam!G24)</f>
        <v>Rose Mc Laughlin</v>
      </c>
      <c r="H28" s="199"/>
      <c r="I28" s="199"/>
      <c r="J28" s="197">
        <v>28</v>
      </c>
      <c r="K28" s="200" t="s">
        <v>96</v>
      </c>
      <c r="L28" s="201" t="str">
        <f>IF(AwayTeam!K24="","",AwayTeam!K24)</f>
        <v>Joshua Hunt</v>
      </c>
      <c r="M28" s="201" t="str">
        <f>IF(AwayTeam!L24="","",AwayTeam!L24)</f>
        <v>Alex Whiteside</v>
      </c>
      <c r="N28" s="201" t="str">
        <f>IF(AwayTeam!M24="","",AwayTeam!M24)</f>
        <v>Jude Williams</v>
      </c>
      <c r="O28" s="201" t="str">
        <f>IF(AwayTeam!N24="","",AwayTeam!N24)</f>
        <v>Ben Dinsmore</v>
      </c>
      <c r="P28" s="199"/>
      <c r="Q28" s="199"/>
    </row>
    <row r="29" spans="2:17" ht="15.75" thickBot="1">
      <c r="B29" s="319" t="s">
        <v>111</v>
      </c>
      <c r="C29" s="320"/>
      <c r="D29" s="320"/>
      <c r="E29" s="320"/>
      <c r="F29" s="320"/>
      <c r="G29" s="321"/>
      <c r="H29" s="179"/>
      <c r="I29" s="179"/>
      <c r="J29" s="319" t="s">
        <v>112</v>
      </c>
      <c r="K29" s="320"/>
      <c r="L29" s="320"/>
      <c r="M29" s="320"/>
      <c r="N29" s="320"/>
      <c r="O29" s="321"/>
      <c r="P29" s="179"/>
      <c r="Q29" s="179"/>
    </row>
    <row r="30" spans="2:17" ht="15.75" thickBot="1">
      <c r="B30" s="301" t="s">
        <v>113</v>
      </c>
      <c r="C30" s="302"/>
      <c r="D30" s="302"/>
      <c r="E30" s="302"/>
      <c r="F30" s="302"/>
      <c r="G30" s="302"/>
      <c r="H30" s="302"/>
      <c r="I30" s="302"/>
      <c r="J30" s="302"/>
      <c r="K30" s="302"/>
      <c r="L30" s="302"/>
      <c r="M30" s="302"/>
      <c r="N30" s="302"/>
      <c r="O30" s="303"/>
      <c r="P30" s="181"/>
      <c r="Q30" s="181"/>
    </row>
    <row r="31" spans="2:17" ht="15.75" customHeight="1">
      <c r="B31" s="189">
        <v>29</v>
      </c>
      <c r="C31" s="189" t="s">
        <v>81</v>
      </c>
      <c r="D31" s="188" t="str">
        <f>IF(AwayTeam!D25="","",AwayTeam!D25)</f>
        <v>Fiona O Neill</v>
      </c>
      <c r="E31" s="188" t="str">
        <f>IF(AwayTeam!E25="","",AwayTeam!E25)</f>
        <v>Miya Mc Clamont</v>
      </c>
      <c r="F31" s="188" t="str">
        <f>IF(AwayTeam!F25="","",AwayTeam!F25)</f>
        <v>Caelyn O Connor</v>
      </c>
      <c r="G31" s="188" t="str">
        <f>IF(AwayTeam!G25="","",AwayTeam!G25)</f>
        <v>Isobella Mc Carron</v>
      </c>
      <c r="H31" s="190"/>
      <c r="I31" s="190"/>
      <c r="J31" s="189">
        <v>30</v>
      </c>
      <c r="K31" s="191" t="s">
        <v>97</v>
      </c>
      <c r="L31" s="192" t="str">
        <f>IF(AwayTeam!K25="","",AwayTeam!K25)</f>
        <v>Harry Butcher</v>
      </c>
      <c r="M31" s="192" t="str">
        <f>IF(AwayTeam!L25="","",AwayTeam!L25)</f>
        <v>Tom Cormie</v>
      </c>
      <c r="N31" s="192" t="str">
        <f>IF(AwayTeam!M25="","",AwayTeam!M25)</f>
        <v>Jamie Mellon</v>
      </c>
      <c r="O31" s="192" t="str">
        <f>IF(AwayTeam!N25="","",AwayTeam!N25)</f>
        <v>Ollie Mc Mc Macken</v>
      </c>
      <c r="P31" s="190"/>
      <c r="Q31" s="190"/>
    </row>
    <row r="32" spans="2:17" ht="15.75" customHeight="1">
      <c r="B32" s="193">
        <v>31</v>
      </c>
      <c r="C32" s="193" t="s">
        <v>82</v>
      </c>
      <c r="D32" s="184" t="str">
        <f>IF(AwayTeam!D26="","",AwayTeam!D26)</f>
        <v>Eva Campbell</v>
      </c>
      <c r="E32" s="184" t="str">
        <f>IF(AwayTeam!E26="","",AwayTeam!E26)</f>
        <v>Alice Cladwell</v>
      </c>
      <c r="F32" s="184" t="str">
        <f>IF(AwayTeam!F26="","",AwayTeam!F26)</f>
        <v>Emma Gallagher</v>
      </c>
      <c r="G32" s="184" t="str">
        <f>IF(AwayTeam!G26="","",AwayTeam!G26)</f>
        <v>Sofie Halcrow</v>
      </c>
      <c r="H32" s="194"/>
      <c r="I32" s="194"/>
      <c r="J32" s="193">
        <v>32</v>
      </c>
      <c r="K32" s="195" t="s">
        <v>98</v>
      </c>
      <c r="L32" s="196" t="str">
        <f>IF(AwayTeam!K26="","",AwayTeam!K26)</f>
        <v>Kevin Mc Macken</v>
      </c>
      <c r="M32" s="196" t="str">
        <f>IF(AwayTeam!L26="","",AwayTeam!L26)</f>
        <v>Sam S H</v>
      </c>
      <c r="N32" s="196" t="str">
        <f>IF(AwayTeam!M26="","",AwayTeam!M26)</f>
        <v>Cody Blair</v>
      </c>
      <c r="O32" s="196" t="str">
        <f>IF(AwayTeam!N26="","",AwayTeam!N26)</f>
        <v>Charlie Whiteside</v>
      </c>
      <c r="P32" s="194"/>
      <c r="Q32" s="194"/>
    </row>
    <row r="33" spans="2:17" ht="15.75" customHeight="1">
      <c r="B33" s="193">
        <v>33</v>
      </c>
      <c r="C33" s="193" t="s">
        <v>83</v>
      </c>
      <c r="D33" s="184" t="str">
        <f>IF(AwayTeam!D27="","",AwayTeam!D27)</f>
        <v>Amy Mc Gurk</v>
      </c>
      <c r="E33" s="184" t="str">
        <f>IF(AwayTeam!E27="","",AwayTeam!E27)</f>
        <v>Anna Mc Gookin</v>
      </c>
      <c r="F33" s="184" t="str">
        <f>IF(AwayTeam!F27="","",AwayTeam!F27)</f>
        <v>Emila Kingston</v>
      </c>
      <c r="G33" s="184" t="str">
        <f>IF(AwayTeam!G27="","",AwayTeam!G27)</f>
        <v/>
      </c>
      <c r="H33" s="194"/>
      <c r="I33" s="194"/>
      <c r="J33" s="193">
        <v>34</v>
      </c>
      <c r="K33" s="195" t="s">
        <v>99</v>
      </c>
      <c r="L33" s="196" t="str">
        <f>IF(AwayTeam!K27="","",AwayTeam!K27)</f>
        <v>Oliver Smith</v>
      </c>
      <c r="M33" s="196" t="str">
        <f>IF(AwayTeam!L27="","",AwayTeam!L27)</f>
        <v>Cailean Gallagher</v>
      </c>
      <c r="N33" s="196" t="str">
        <f>IF(AwayTeam!M27="","",AwayTeam!M27)</f>
        <v>Lewis Robinson</v>
      </c>
      <c r="O33" s="196" t="str">
        <f>IF(AwayTeam!N27="","",AwayTeam!N27)</f>
        <v>Tom Mc Shane</v>
      </c>
      <c r="P33" s="194"/>
      <c r="Q33" s="194"/>
    </row>
    <row r="34" spans="2:17" ht="15.75" customHeight="1" thickBot="1">
      <c r="B34" s="197">
        <v>35</v>
      </c>
      <c r="C34" s="197" t="s">
        <v>84</v>
      </c>
      <c r="D34" s="198" t="str">
        <f>IF(AwayTeam!D28="","",AwayTeam!D28)</f>
        <v>Emily Butcher</v>
      </c>
      <c r="E34" s="198" t="str">
        <f>IF(AwayTeam!E28="","",AwayTeam!E28)</f>
        <v>Abbi Craig</v>
      </c>
      <c r="F34" s="198" t="str">
        <f>IF(AwayTeam!F28="","",AwayTeam!F28)</f>
        <v>Cara Gallagher</v>
      </c>
      <c r="G34" s="198" t="str">
        <f>IF(AwayTeam!G28="","",AwayTeam!G28)</f>
        <v>Erin Callaghan</v>
      </c>
      <c r="H34" s="199"/>
      <c r="I34" s="199"/>
      <c r="J34" s="197">
        <v>36</v>
      </c>
      <c r="K34" s="200" t="s">
        <v>100</v>
      </c>
      <c r="L34" s="201" t="str">
        <f>IF(AwayTeam!K28="","",AwayTeam!K28)</f>
        <v>Ben Dinsmore</v>
      </c>
      <c r="M34" s="201" t="str">
        <f>IF(AwayTeam!L28="","",AwayTeam!L28)</f>
        <v>Alex Whiteside</v>
      </c>
      <c r="N34" s="201" t="str">
        <f>IF(AwayTeam!M28="","",AwayTeam!M28)</f>
        <v>Jude Williams</v>
      </c>
      <c r="O34" s="201" t="str">
        <f>IF(AwayTeam!N28="","",AwayTeam!N28)</f>
        <v>Joshua Hunt</v>
      </c>
      <c r="P34" s="199"/>
      <c r="Q34" s="199"/>
    </row>
    <row r="35" spans="2:17" ht="15.75" thickBot="1">
      <c r="B35" s="319" t="s">
        <v>114</v>
      </c>
      <c r="C35" s="320"/>
      <c r="D35" s="320"/>
      <c r="E35" s="320"/>
      <c r="F35" s="320"/>
      <c r="G35" s="321"/>
      <c r="H35" s="179"/>
      <c r="I35" s="179"/>
      <c r="J35" s="319" t="s">
        <v>115</v>
      </c>
      <c r="K35" s="320"/>
      <c r="L35" s="320"/>
      <c r="M35" s="320"/>
      <c r="N35" s="320"/>
      <c r="O35" s="321"/>
      <c r="P35" s="179"/>
      <c r="Q35" s="179"/>
    </row>
    <row r="36" spans="2:17" ht="15.75" thickBot="1">
      <c r="B36" s="301" t="s">
        <v>116</v>
      </c>
      <c r="C36" s="302"/>
      <c r="D36" s="302"/>
      <c r="E36" s="302"/>
      <c r="F36" s="302"/>
      <c r="G36" s="302"/>
      <c r="H36" s="302"/>
      <c r="I36" s="302"/>
      <c r="J36" s="302"/>
      <c r="K36" s="302"/>
      <c r="L36" s="302"/>
      <c r="M36" s="302"/>
      <c r="N36" s="302"/>
      <c r="O36" s="303"/>
      <c r="P36" s="181"/>
      <c r="Q36" s="181"/>
    </row>
    <row r="37" spans="2:17" ht="15" customHeight="1">
      <c r="B37" s="310">
        <v>37</v>
      </c>
      <c r="C37" s="313" t="s">
        <v>47</v>
      </c>
      <c r="D37" s="190" t="str">
        <f>IF(AwayTeam!D29="","",AwayTeam!D29)</f>
        <v>Eoin Mc Alinden</v>
      </c>
      <c r="E37" s="190" t="str">
        <f>IF(AwayTeam!E29="","",AwayTeam!E29)</f>
        <v>Miya Mc Clamont</v>
      </c>
      <c r="F37" s="190" t="str">
        <f>IF(AwayTeam!F29="","",AwayTeam!F29)</f>
        <v>Henry Connell</v>
      </c>
      <c r="G37" s="190" t="str">
        <f>IF(AwayTeam!G29="","",AwayTeam!G29)</f>
        <v>Jack Mc Gookin</v>
      </c>
      <c r="H37" s="304"/>
      <c r="I37" s="316"/>
      <c r="J37" s="310">
        <v>38</v>
      </c>
      <c r="K37" s="313" t="s">
        <v>49</v>
      </c>
      <c r="L37" s="190" t="str">
        <f>IF(AwayTeam!K29="","",AwayTeam!K29)</f>
        <v>Sofie Halcrow</v>
      </c>
      <c r="M37" s="190" t="str">
        <f>IF(AwayTeam!L29="","",AwayTeam!L29)</f>
        <v>Alice Cladwell</v>
      </c>
      <c r="N37" s="190" t="str">
        <f>IF(AwayTeam!M29="","",AwayTeam!M29)</f>
        <v>Charlie Whiteside</v>
      </c>
      <c r="O37" s="190" t="str">
        <f>IF(AwayTeam!N29="","",AwayTeam!N29)</f>
        <v>Evie Connor</v>
      </c>
      <c r="P37" s="304"/>
      <c r="Q37" s="307"/>
    </row>
    <row r="38" spans="2:17">
      <c r="B38" s="311"/>
      <c r="C38" s="314"/>
      <c r="D38" s="194" t="str">
        <f>IF(AwayTeam!D30="","",AwayTeam!D30)</f>
        <v>Caelyn O Connor</v>
      </c>
      <c r="E38" s="194" t="str">
        <f>IF(AwayTeam!E30="","",AwayTeam!E30)</f>
        <v>Tom Cormie</v>
      </c>
      <c r="F38" s="194" t="str">
        <f>IF(AwayTeam!F30="","",AwayTeam!F30)</f>
        <v>Maise Campbell</v>
      </c>
      <c r="G38" s="194" t="str">
        <f>IF(AwayTeam!G30="","",AwayTeam!G30)</f>
        <v>Charlie Whiteside</v>
      </c>
      <c r="H38" s="305"/>
      <c r="I38" s="317"/>
      <c r="J38" s="311"/>
      <c r="K38" s="314"/>
      <c r="L38" s="194" t="str">
        <f>IF(AwayTeam!K30="","",AwayTeam!K30)</f>
        <v>Cody Blair</v>
      </c>
      <c r="M38" s="194" t="str">
        <f>IF(AwayTeam!L30="","",AwayTeam!L30)</f>
        <v>Kevin Mc Macken</v>
      </c>
      <c r="N38" s="194" t="str">
        <f>IF(AwayTeam!M30="","",AwayTeam!M30)</f>
        <v>Clea Moore</v>
      </c>
      <c r="O38" s="194" t="str">
        <f>IF(AwayTeam!N30="","",AwayTeam!N30)</f>
        <v>Ellen Gibbons</v>
      </c>
      <c r="P38" s="305"/>
      <c r="Q38" s="308"/>
    </row>
    <row r="39" spans="2:17">
      <c r="B39" s="311"/>
      <c r="C39" s="314"/>
      <c r="D39" s="194" t="str">
        <f>IF(AwayTeam!D31="","",AwayTeam!D31)</f>
        <v>Grace Gallagher</v>
      </c>
      <c r="E39" s="194" t="str">
        <f>IF(AwayTeam!E31="","",AwayTeam!E31)</f>
        <v>Harry Butcher</v>
      </c>
      <c r="F39" s="194" t="str">
        <f>IF(AwayTeam!F31="","",AwayTeam!F31)</f>
        <v>Isobella Mc Carron</v>
      </c>
      <c r="G39" s="194" t="str">
        <f>IF(AwayTeam!G31="","",AwayTeam!G31)</f>
        <v>Luke Blair</v>
      </c>
      <c r="H39" s="305"/>
      <c r="I39" s="317"/>
      <c r="J39" s="311"/>
      <c r="K39" s="314"/>
      <c r="L39" s="194" t="str">
        <f>IF(AwayTeam!K31="","",AwayTeam!K31)</f>
        <v>Emma Gallagher</v>
      </c>
      <c r="M39" s="194" t="str">
        <f>IF(AwayTeam!L31="","",AwayTeam!L31)</f>
        <v>Eva Campbell</v>
      </c>
      <c r="N39" s="194" t="str">
        <f>IF(AwayTeam!M31="","",AwayTeam!M31)</f>
        <v/>
      </c>
      <c r="O39" s="194" t="str">
        <f>IF(AwayTeam!N31="","",AwayTeam!N31)</f>
        <v>Kensa Lawry</v>
      </c>
      <c r="P39" s="305"/>
      <c r="Q39" s="308"/>
    </row>
    <row r="40" spans="2:17" ht="15.75" thickBot="1">
      <c r="B40" s="312"/>
      <c r="C40" s="315"/>
      <c r="D40" s="199" t="str">
        <f>IF(AwayTeam!D32="","",AwayTeam!D32)</f>
        <v>Jamie Mellon</v>
      </c>
      <c r="E40" s="199" t="str">
        <f>IF(AwayTeam!E32="","",AwayTeam!E32)</f>
        <v>Fiona O Neill</v>
      </c>
      <c r="F40" s="199" t="str">
        <f>IF(AwayTeam!F32="","",AwayTeam!F32)</f>
        <v>Ollie Mc Macken</v>
      </c>
      <c r="G40" s="199" t="str">
        <f>IF(AwayTeam!G32="","",AwayTeam!G32)</f>
        <v>Adam Gallagher</v>
      </c>
      <c r="H40" s="306"/>
      <c r="I40" s="318"/>
      <c r="J40" s="312"/>
      <c r="K40" s="315"/>
      <c r="L40" s="199" t="str">
        <f>IF(AwayTeam!K32="","",AwayTeam!K32)</f>
        <v>Otis Irwin</v>
      </c>
      <c r="M40" s="199" t="str">
        <f>IF(AwayTeam!L32="","",AwayTeam!L32)</f>
        <v>Sam S H</v>
      </c>
      <c r="N40" s="199" t="str">
        <f>IF(AwayTeam!M32="","",AwayTeam!M32)</f>
        <v>Toby Dinsmore</v>
      </c>
      <c r="O40" s="199" t="str">
        <f>IF(AwayTeam!N32="","",AwayTeam!N32)</f>
        <v>Rebecca Sweeny</v>
      </c>
      <c r="P40" s="306"/>
      <c r="Q40" s="309"/>
    </row>
    <row r="41" spans="2:17" ht="15" customHeight="1">
      <c r="B41" s="310">
        <v>39</v>
      </c>
      <c r="C41" s="313" t="s">
        <v>48</v>
      </c>
      <c r="D41" s="190" t="str">
        <f>IF(AwayTeam!D33="","",AwayTeam!D33)</f>
        <v>Brooke Mc Clamont</v>
      </c>
      <c r="E41" s="190" t="str">
        <f>IF(AwayTeam!E33="","",AwayTeam!E33)</f>
        <v>Anna Mc Gookin</v>
      </c>
      <c r="F41" s="190" t="str">
        <f>IF(AwayTeam!F33="","",AwayTeam!F33)</f>
        <v>Emila Kingston</v>
      </c>
      <c r="G41" s="190" t="str">
        <f>IF(AwayTeam!G33="","",AwayTeam!G33)</f>
        <v>Ellen Gibbons</v>
      </c>
      <c r="H41" s="304"/>
      <c r="I41" s="316"/>
      <c r="J41" s="310">
        <v>40</v>
      </c>
      <c r="K41" s="313" t="s">
        <v>50</v>
      </c>
      <c r="L41" s="190" t="str">
        <f>IF(AwayTeam!K33="","",AwayTeam!K33)</f>
        <v>Niamh Mc Henry</v>
      </c>
      <c r="M41" s="190" t="str">
        <f>IF(AwayTeam!L33="","",AwayTeam!L33)</f>
        <v>Emily Butcher</v>
      </c>
      <c r="N41" s="190" t="str">
        <f>IF(AwayTeam!M33="","",AwayTeam!M33)</f>
        <v>Otis Irwin</v>
      </c>
      <c r="O41" s="190" t="str">
        <f>IF(AwayTeam!N33="","",AwayTeam!N33)</f>
        <v>Annaleece Hetheringn</v>
      </c>
      <c r="P41" s="304"/>
      <c r="Q41" s="307"/>
    </row>
    <row r="42" spans="2:17">
      <c r="B42" s="311"/>
      <c r="C42" s="314"/>
      <c r="D42" s="194" t="str">
        <f>IF(AwayTeam!D34="","",AwayTeam!D34)</f>
        <v>Evie Connor</v>
      </c>
      <c r="E42" s="194" t="str">
        <f>IF(AwayTeam!E34="","",AwayTeam!E34)</f>
        <v>Amy Mc Gurk</v>
      </c>
      <c r="F42" s="194" t="str">
        <f>IF(AwayTeam!F34="","",AwayTeam!F34)</f>
        <v>Toby Dinsmore</v>
      </c>
      <c r="G42" s="194" t="str">
        <f>IF(AwayTeam!G34="","",AwayTeam!G34)</f>
        <v>Kensa Lawry</v>
      </c>
      <c r="H42" s="305"/>
      <c r="I42" s="317"/>
      <c r="J42" s="311"/>
      <c r="K42" s="314"/>
      <c r="L42" s="194" t="str">
        <f>IF(AwayTeam!K34="","",AwayTeam!K34)</f>
        <v>Joshua Hunt</v>
      </c>
      <c r="M42" s="194" t="str">
        <f>IF(AwayTeam!L34="","",AwayTeam!L34)</f>
        <v>Ben Dinsmore</v>
      </c>
      <c r="N42" s="194" t="str">
        <f>IF(AwayTeam!M34="","",AwayTeam!M34)</f>
        <v>Rose Mc Laughlin</v>
      </c>
      <c r="O42" s="194" t="str">
        <f>IF(AwayTeam!N34="","",AwayTeam!N34)</f>
        <v>Rebecca Sweeny</v>
      </c>
      <c r="P42" s="305"/>
      <c r="Q42" s="308"/>
    </row>
    <row r="43" spans="2:17">
      <c r="B43" s="311"/>
      <c r="C43" s="314"/>
      <c r="D43" s="194" t="str">
        <f>IF(AwayTeam!D35="","",AwayTeam!D35)</f>
        <v>Alexander Blaha</v>
      </c>
      <c r="E43" s="194" t="str">
        <f>IF(AwayTeam!E35="","",AwayTeam!E35)</f>
        <v>Oliver Smith</v>
      </c>
      <c r="F43" s="194" t="str">
        <f>IF(AwayTeam!F35="","",AwayTeam!F35)</f>
        <v>Ellen Gibbons</v>
      </c>
      <c r="G43" s="194" t="str">
        <f>IF(AwayTeam!G35="","",AwayTeam!G35)</f>
        <v>Clea Moore</v>
      </c>
      <c r="H43" s="305"/>
      <c r="I43" s="317"/>
      <c r="J43" s="311"/>
      <c r="K43" s="314"/>
      <c r="L43" s="194" t="str">
        <f>IF(AwayTeam!K35="","",AwayTeam!K35)</f>
        <v>Erin Callaghan</v>
      </c>
      <c r="M43" s="194" t="str">
        <f>IF(AwayTeam!L35="","",AwayTeam!L35)</f>
        <v>Abbi Craig</v>
      </c>
      <c r="N43" s="194" t="str">
        <f>IF(AwayTeam!M35="","",AwayTeam!M35)</f>
        <v>Cara Gallagher</v>
      </c>
      <c r="O43" s="194" t="str">
        <f>IF(AwayTeam!N35="","",AwayTeam!N35)</f>
        <v>Kensa Lawry</v>
      </c>
      <c r="P43" s="305"/>
      <c r="Q43" s="308"/>
    </row>
    <row r="44" spans="2:17" ht="15.75" thickBot="1">
      <c r="B44" s="312"/>
      <c r="C44" s="315"/>
      <c r="D44" s="199" t="str">
        <f>IF(AwayTeam!D36="","",AwayTeam!D36)</f>
        <v>Lewis Robinson</v>
      </c>
      <c r="E44" s="199" t="str">
        <f>IF(AwayTeam!E36="","",AwayTeam!E36)</f>
        <v>Cailean Gallagher</v>
      </c>
      <c r="F44" s="199" t="str">
        <f>IF(AwayTeam!F36="","",AwayTeam!F36)</f>
        <v>Alexander Blaha</v>
      </c>
      <c r="G44" s="199" t="str">
        <f>IF(AwayTeam!G36="","",AwayTeam!G36)</f>
        <v/>
      </c>
      <c r="H44" s="306"/>
      <c r="I44" s="318"/>
      <c r="J44" s="312"/>
      <c r="K44" s="315"/>
      <c r="L44" s="199" t="str">
        <f>IF(AwayTeam!K36="","",AwayTeam!K36)</f>
        <v>Jude Williams</v>
      </c>
      <c r="M44" s="199" t="str">
        <f>IF(AwayTeam!L36="","",AwayTeam!L36)</f>
        <v>Alex Whiteside</v>
      </c>
      <c r="N44" s="199" t="str">
        <f>IF(AwayTeam!M36="","",AwayTeam!M36)</f>
        <v>Tom Mc Shane</v>
      </c>
      <c r="O44" s="199" t="str">
        <f>IF(AwayTeam!N36="","",AwayTeam!N36)</f>
        <v>Ellen Gibbons</v>
      </c>
      <c r="P44" s="306"/>
      <c r="Q44" s="309"/>
    </row>
    <row r="45" spans="2:17" ht="15.75" thickBot="1">
      <c r="B45" s="301" t="s">
        <v>117</v>
      </c>
      <c r="C45" s="302"/>
      <c r="D45" s="302"/>
      <c r="E45" s="302"/>
      <c r="F45" s="302"/>
      <c r="G45" s="302"/>
      <c r="H45" s="302"/>
      <c r="I45" s="302"/>
      <c r="J45" s="302"/>
      <c r="K45" s="302"/>
      <c r="L45" s="302"/>
      <c r="M45" s="302"/>
      <c r="N45" s="302"/>
      <c r="O45" s="303"/>
      <c r="P45" s="181"/>
      <c r="Q45" s="181"/>
    </row>
    <row r="46" spans="2:17" ht="15.75" thickBot="1">
      <c r="B46" s="301" t="s">
        <v>118</v>
      </c>
      <c r="C46" s="302"/>
      <c r="D46" s="302"/>
      <c r="E46" s="302"/>
      <c r="F46" s="302"/>
      <c r="G46" s="302"/>
      <c r="H46" s="302"/>
      <c r="I46" s="302"/>
      <c r="J46" s="302"/>
      <c r="K46" s="302"/>
      <c r="L46" s="302"/>
      <c r="M46" s="302"/>
      <c r="N46" s="302"/>
      <c r="O46" s="303"/>
      <c r="P46" s="181"/>
      <c r="Q46" s="181"/>
    </row>
  </sheetData>
  <mergeCells count="49">
    <mergeCell ref="B1:C1"/>
    <mergeCell ref="D1:E1"/>
    <mergeCell ref="B4:B7"/>
    <mergeCell ref="C4:C7"/>
    <mergeCell ref="J4:J7"/>
    <mergeCell ref="B8:B11"/>
    <mergeCell ref="C8:C11"/>
    <mergeCell ref="J8:J11"/>
    <mergeCell ref="K8:K11"/>
    <mergeCell ref="B37:B40"/>
    <mergeCell ref="C37:C40"/>
    <mergeCell ref="J37:J40"/>
    <mergeCell ref="K37:K40"/>
    <mergeCell ref="Q4:Q7"/>
    <mergeCell ref="P4:P7"/>
    <mergeCell ref="I8:I11"/>
    <mergeCell ref="H8:H11"/>
    <mergeCell ref="I4:I7"/>
    <mergeCell ref="H4:H7"/>
    <mergeCell ref="Q8:Q11"/>
    <mergeCell ref="P8:P11"/>
    <mergeCell ref="K4:K7"/>
    <mergeCell ref="P37:P40"/>
    <mergeCell ref="Q37:Q40"/>
    <mergeCell ref="P41:P44"/>
    <mergeCell ref="Q41:Q44"/>
    <mergeCell ref="B12:O12"/>
    <mergeCell ref="B18:O18"/>
    <mergeCell ref="B24:O24"/>
    <mergeCell ref="B30:O30"/>
    <mergeCell ref="B36:O36"/>
    <mergeCell ref="J17:O17"/>
    <mergeCell ref="B41:B44"/>
    <mergeCell ref="C41:C44"/>
    <mergeCell ref="J41:J44"/>
    <mergeCell ref="K41:K44"/>
    <mergeCell ref="H37:H40"/>
    <mergeCell ref="I37:I40"/>
    <mergeCell ref="B46:O46"/>
    <mergeCell ref="B45:O45"/>
    <mergeCell ref="B17:G17"/>
    <mergeCell ref="B23:G23"/>
    <mergeCell ref="B29:G29"/>
    <mergeCell ref="B35:G35"/>
    <mergeCell ref="J35:O35"/>
    <mergeCell ref="J29:O29"/>
    <mergeCell ref="J23:O23"/>
    <mergeCell ref="H41:H44"/>
    <mergeCell ref="I41:I44"/>
  </mergeCells>
  <pageMargins left="0.43307086614173229" right="0.23622047244094491" top="0.35433070866141736" bottom="0.35433070866141736" header="0.11811023622047245" footer="0.11811023622047245"/>
  <pageSetup paperSize="9" scale="72" orientation="landscape"/>
  <headerFooter alignWithMargins="0">
    <oddHeader>&amp;CLisburn  v  Ards</oddHeader>
    <oddFooter>&amp;CPERSONAL AND CONFIDENTIAL</oddFooter>
  </headerFooter>
  <ignoredErrors>
    <ignoredError sqref="D31:G34 D16:G16 D19:G22 D25:G28" unlockedFormula="1"/>
  </ignoredErrors>
</worksheet>
</file>

<file path=xl/worksheets/sheet6.xml><?xml version="1.0" encoding="utf-8"?>
<worksheet xmlns="http://schemas.openxmlformats.org/spreadsheetml/2006/main" xmlns:r="http://schemas.openxmlformats.org/officeDocument/2006/relationships">
  <sheetPr codeName="Sheet3">
    <tabColor rgb="FFFFC000"/>
  </sheetPr>
  <dimension ref="A1:M369"/>
  <sheetViews>
    <sheetView showGridLines="0" zoomScale="98" zoomScaleNormal="98" zoomScaleSheetLayoutView="75" workbookViewId="0">
      <pane ySplit="5" topLeftCell="A115" activePane="bottomLeft" state="frozen"/>
      <selection activeCell="H2" sqref="H1:H1048576"/>
      <selection pane="bottomLeft" activeCell="D123" sqref="D123:E123"/>
    </sheetView>
  </sheetViews>
  <sheetFormatPr defaultRowHeight="12.75"/>
  <cols>
    <col min="1" max="1" width="9.140625" style="3"/>
    <col min="2" max="2" width="10.140625" style="3" bestFit="1" customWidth="1"/>
    <col min="3" max="3" width="9.140625" style="3"/>
    <col min="4" max="4" width="9.140625" style="4"/>
    <col min="5" max="5" width="12.85546875" style="4" customWidth="1"/>
    <col min="6" max="6" width="14" style="3" customWidth="1"/>
    <col min="7" max="7" width="9.140625" style="3"/>
    <col min="8" max="8" width="8.85546875" style="3" hidden="1" customWidth="1"/>
    <col min="9" max="9" width="9.140625" style="3"/>
    <col min="10" max="10" width="0" style="3" hidden="1" customWidth="1"/>
    <col min="11" max="16384" width="9.140625" style="3"/>
  </cols>
  <sheetData>
    <row r="1" spans="1:11" ht="12" customHeight="1">
      <c r="A1" s="415" t="s">
        <v>28</v>
      </c>
      <c r="B1" s="415"/>
      <c r="C1" s="415"/>
      <c r="D1" s="415"/>
      <c r="E1" s="415"/>
      <c r="F1" s="415"/>
      <c r="G1" s="415"/>
      <c r="H1" s="415"/>
      <c r="I1" s="415"/>
      <c r="J1" s="415"/>
      <c r="K1" s="415"/>
    </row>
    <row r="2" spans="1:11" ht="5.25" customHeight="1">
      <c r="B2" s="5"/>
    </row>
    <row r="3" spans="1:11" ht="11.25" customHeight="1">
      <c r="B3" s="397" t="str">
        <f>HomeTeam!D2&amp;" "&amp;K369&amp;" v "&amp;AwayTeam!D2&amp;" "&amp;I369</f>
        <v>Lisburn 231 v Limavady 169</v>
      </c>
      <c r="C3" s="397"/>
      <c r="D3" s="397"/>
      <c r="E3" s="397"/>
      <c r="F3" s="397"/>
      <c r="G3" s="397"/>
      <c r="H3" s="397"/>
      <c r="I3" s="397"/>
      <c r="J3" s="42"/>
    </row>
    <row r="4" spans="1:11" ht="6" customHeight="1">
      <c r="B4" s="5"/>
    </row>
    <row r="5" spans="1:11">
      <c r="A5" s="6" t="s">
        <v>122</v>
      </c>
      <c r="B5" s="2"/>
      <c r="C5" s="61"/>
      <c r="E5" s="62" t="s">
        <v>42</v>
      </c>
      <c r="F5" s="229" t="s">
        <v>53</v>
      </c>
      <c r="G5" s="6" t="s">
        <v>22</v>
      </c>
    </row>
    <row r="6" spans="1:11" ht="10.5" customHeight="1">
      <c r="A6" s="6"/>
      <c r="G6" s="6"/>
    </row>
    <row r="7" spans="1:11" ht="18.75" customHeight="1">
      <c r="A7" s="363" t="s">
        <v>16</v>
      </c>
      <c r="B7" s="363"/>
      <c r="C7" s="363"/>
      <c r="D7" s="363"/>
      <c r="E7" s="363"/>
      <c r="F7" s="363"/>
      <c r="G7" s="363"/>
      <c r="H7" s="363"/>
      <c r="I7" s="363"/>
      <c r="J7" s="363"/>
      <c r="K7" s="363"/>
    </row>
    <row r="8" spans="1:11" ht="11.25" customHeight="1" thickBot="1">
      <c r="A8" s="34"/>
      <c r="B8" s="34"/>
      <c r="D8" s="35"/>
      <c r="F8" s="34"/>
      <c r="G8" s="34"/>
      <c r="H8" s="34"/>
      <c r="I8" s="34"/>
      <c r="J8" s="34"/>
      <c r="K8" s="34"/>
    </row>
    <row r="9" spans="1:11" s="36" customFormat="1" ht="15.75">
      <c r="A9" s="10" t="s">
        <v>0</v>
      </c>
      <c r="B9" s="11" t="s">
        <v>1</v>
      </c>
      <c r="C9" s="11" t="s">
        <v>2</v>
      </c>
      <c r="D9" s="371" t="s">
        <v>3</v>
      </c>
      <c r="E9" s="372"/>
      <c r="F9" s="228" t="s">
        <v>4</v>
      </c>
      <c r="G9" s="10" t="s">
        <v>5</v>
      </c>
      <c r="H9" s="204" t="s">
        <v>6</v>
      </c>
      <c r="I9" s="373" t="s">
        <v>6</v>
      </c>
      <c r="J9" s="373"/>
      <c r="K9" s="374"/>
    </row>
    <row r="10" spans="1:11" ht="15.75" thickBot="1">
      <c r="A10" s="12"/>
      <c r="B10" s="13"/>
      <c r="C10" s="14"/>
      <c r="D10" s="15"/>
      <c r="E10" s="15"/>
      <c r="F10" s="39"/>
      <c r="G10" s="39"/>
      <c r="H10" s="205"/>
      <c r="I10" s="22"/>
      <c r="J10" s="22"/>
      <c r="K10" s="23"/>
    </row>
    <row r="11" spans="1:11" ht="15.75">
      <c r="A11" s="16">
        <v>1</v>
      </c>
      <c r="B11" s="409" t="s">
        <v>123</v>
      </c>
      <c r="C11" s="17"/>
      <c r="D11" s="381" t="str">
        <f>AwayTeam!F5</f>
        <v>Isobella Mc Carron</v>
      </c>
      <c r="E11" s="382"/>
      <c r="F11" s="339" t="s">
        <v>181</v>
      </c>
      <c r="G11" s="339">
        <v>2</v>
      </c>
      <c r="H11" s="418">
        <f>IF(G11="","", IF(G11=1,7,3))</f>
        <v>3</v>
      </c>
      <c r="I11" s="336">
        <v>3</v>
      </c>
      <c r="J11" s="57"/>
      <c r="K11" s="357"/>
    </row>
    <row r="12" spans="1:11" ht="15.75">
      <c r="A12" s="16"/>
      <c r="B12" s="407"/>
      <c r="C12" s="17">
        <v>3</v>
      </c>
      <c r="D12" s="368" t="str">
        <f>AwayTeam!F6</f>
        <v>Harry Butcher</v>
      </c>
      <c r="E12" s="375"/>
      <c r="F12" s="340"/>
      <c r="G12" s="340"/>
      <c r="H12" s="346"/>
      <c r="I12" s="337"/>
      <c r="J12" s="57"/>
      <c r="K12" s="358"/>
    </row>
    <row r="13" spans="1:11" ht="15.75">
      <c r="A13" s="16"/>
      <c r="B13" s="407"/>
      <c r="C13" s="17"/>
      <c r="D13" s="368" t="str">
        <f>AwayTeam!F7</f>
        <v>Maise Campbell</v>
      </c>
      <c r="E13" s="375"/>
      <c r="F13" s="340"/>
      <c r="G13" s="340"/>
      <c r="H13" s="346"/>
      <c r="I13" s="337"/>
      <c r="J13" s="57"/>
      <c r="K13" s="358"/>
    </row>
    <row r="14" spans="1:11" ht="15.75">
      <c r="A14" s="16" t="s">
        <v>7</v>
      </c>
      <c r="B14" s="410"/>
      <c r="C14" s="18"/>
      <c r="D14" s="368" t="str">
        <f>AwayTeam!F8</f>
        <v>Jamie Mellon</v>
      </c>
      <c r="E14" s="375"/>
      <c r="F14" s="341"/>
      <c r="G14" s="341"/>
      <c r="H14" s="419"/>
      <c r="I14" s="338"/>
      <c r="J14" s="58"/>
      <c r="K14" s="359"/>
    </row>
    <row r="15" spans="1:11" ht="15.75">
      <c r="A15" s="16"/>
      <c r="B15" s="406" t="s">
        <v>54</v>
      </c>
      <c r="C15" s="17"/>
      <c r="D15" s="393">
        <f>HomeTeam!E5</f>
        <v>0</v>
      </c>
      <c r="E15" s="394"/>
      <c r="F15" s="342" t="s">
        <v>182</v>
      </c>
      <c r="G15" s="345">
        <v>1</v>
      </c>
      <c r="H15" s="345">
        <f>IF(G15="","", IF(G15=1,7,3))</f>
        <v>7</v>
      </c>
      <c r="I15" s="360"/>
      <c r="J15" s="40"/>
      <c r="K15" s="390">
        <v>7</v>
      </c>
    </row>
    <row r="16" spans="1:11" ht="15.75">
      <c r="A16" s="16"/>
      <c r="B16" s="407"/>
      <c r="C16" s="17">
        <v>4</v>
      </c>
      <c r="D16" s="393">
        <f>HomeTeam!E6</f>
        <v>0</v>
      </c>
      <c r="E16" s="394"/>
      <c r="F16" s="340"/>
      <c r="G16" s="346"/>
      <c r="H16" s="346"/>
      <c r="I16" s="361"/>
      <c r="J16" s="41"/>
      <c r="K16" s="391"/>
    </row>
    <row r="17" spans="1:11" ht="15.75">
      <c r="A17" s="16"/>
      <c r="B17" s="407"/>
      <c r="C17" s="17"/>
      <c r="D17" s="393">
        <f>HomeTeam!E7</f>
        <v>0</v>
      </c>
      <c r="E17" s="394"/>
      <c r="F17" s="340"/>
      <c r="G17" s="346"/>
      <c r="H17" s="346"/>
      <c r="I17" s="361"/>
      <c r="J17" s="41"/>
      <c r="K17" s="391"/>
    </row>
    <row r="18" spans="1:11" ht="16.5" thickBot="1">
      <c r="A18" s="19"/>
      <c r="B18" s="408"/>
      <c r="C18" s="20"/>
      <c r="D18" s="395">
        <f>HomeTeam!E8</f>
        <v>0</v>
      </c>
      <c r="E18" s="396"/>
      <c r="F18" s="343"/>
      <c r="G18" s="347"/>
      <c r="H18" s="347"/>
      <c r="I18" s="362"/>
      <c r="J18" s="41"/>
      <c r="K18" s="392"/>
    </row>
    <row r="19" spans="1:11" ht="16.5" customHeight="1" thickTop="1">
      <c r="A19" s="16">
        <v>2</v>
      </c>
      <c r="B19" s="409" t="s">
        <v>123</v>
      </c>
      <c r="C19" s="17"/>
      <c r="D19" s="381" t="str">
        <f>AwayTeam!F9</f>
        <v>Evie Connor</v>
      </c>
      <c r="E19" s="382"/>
      <c r="F19" s="339" t="s">
        <v>183</v>
      </c>
      <c r="G19" s="339">
        <v>1</v>
      </c>
      <c r="H19" s="339">
        <f>IF(G19="","", IF(G19=1,7,3))</f>
        <v>7</v>
      </c>
      <c r="I19" s="348">
        <v>7</v>
      </c>
      <c r="J19" s="57"/>
      <c r="K19" s="357"/>
    </row>
    <row r="20" spans="1:11" ht="15.75">
      <c r="A20" s="16"/>
      <c r="B20" s="407"/>
      <c r="C20" s="17">
        <v>3</v>
      </c>
      <c r="D20" s="368" t="str">
        <f>AwayTeam!F10</f>
        <v>Kensa Lawry</v>
      </c>
      <c r="E20" s="375"/>
      <c r="F20" s="340"/>
      <c r="G20" s="340"/>
      <c r="H20" s="340"/>
      <c r="I20" s="349"/>
      <c r="J20" s="57"/>
      <c r="K20" s="358"/>
    </row>
    <row r="21" spans="1:11" ht="15.75">
      <c r="A21" s="16"/>
      <c r="B21" s="407"/>
      <c r="C21" s="17"/>
      <c r="D21" s="368" t="str">
        <f>AwayTeam!F11</f>
        <v>Tom Mc Shane</v>
      </c>
      <c r="E21" s="375"/>
      <c r="F21" s="340"/>
      <c r="G21" s="340"/>
      <c r="H21" s="340"/>
      <c r="I21" s="349"/>
      <c r="J21" s="57"/>
      <c r="K21" s="358"/>
    </row>
    <row r="22" spans="1:11" ht="15.75">
      <c r="A22" s="16" t="s">
        <v>10</v>
      </c>
      <c r="B22" s="410"/>
      <c r="C22" s="18"/>
      <c r="D22" s="367" t="str">
        <f>AwayTeam!F12</f>
        <v>Otis Irwin</v>
      </c>
      <c r="E22" s="368"/>
      <c r="F22" s="341"/>
      <c r="G22" s="341"/>
      <c r="H22" s="341"/>
      <c r="I22" s="350"/>
      <c r="J22" s="58"/>
      <c r="K22" s="359"/>
    </row>
    <row r="23" spans="1:11" ht="15.75" customHeight="1">
      <c r="A23" s="16"/>
      <c r="B23" s="406" t="s">
        <v>54</v>
      </c>
      <c r="C23" s="17"/>
      <c r="D23" s="393">
        <f>HomeTeam!E9</f>
        <v>0</v>
      </c>
      <c r="E23" s="394"/>
      <c r="F23" s="344" t="s">
        <v>184</v>
      </c>
      <c r="G23" s="345">
        <v>2</v>
      </c>
      <c r="H23" s="344">
        <f>IF(G23="","", IF(G23=1,7,3))</f>
        <v>3</v>
      </c>
      <c r="I23" s="360"/>
      <c r="J23" s="40"/>
      <c r="K23" s="390">
        <f>IF(ISBLANK($G23),"",(IF($G23=2,(IF($G19&lt;&gt;1,"ERR",3)),(IF($G19=1,"ERR",7)))))</f>
        <v>3</v>
      </c>
    </row>
    <row r="24" spans="1:11" ht="15.75">
      <c r="A24" s="16"/>
      <c r="B24" s="407"/>
      <c r="C24" s="17">
        <v>4</v>
      </c>
      <c r="D24" s="393">
        <f>HomeTeam!E10</f>
        <v>0</v>
      </c>
      <c r="E24" s="394"/>
      <c r="F24" s="340"/>
      <c r="G24" s="346"/>
      <c r="H24" s="340"/>
      <c r="I24" s="361"/>
      <c r="J24" s="41"/>
      <c r="K24" s="391"/>
    </row>
    <row r="25" spans="1:11" ht="15.75">
      <c r="A25" s="16"/>
      <c r="B25" s="407"/>
      <c r="C25" s="17"/>
      <c r="D25" s="393">
        <f>HomeTeam!E11</f>
        <v>0</v>
      </c>
      <c r="E25" s="394"/>
      <c r="F25" s="340"/>
      <c r="G25" s="346"/>
      <c r="H25" s="340"/>
      <c r="I25" s="361"/>
      <c r="J25" s="41"/>
      <c r="K25" s="391"/>
    </row>
    <row r="26" spans="1:11" ht="16.5" thickBot="1">
      <c r="A26" s="19"/>
      <c r="B26" s="408"/>
      <c r="C26" s="20"/>
      <c r="D26" s="395">
        <f>HomeTeam!E12</f>
        <v>0</v>
      </c>
      <c r="E26" s="396"/>
      <c r="F26" s="343"/>
      <c r="G26" s="347"/>
      <c r="H26" s="343"/>
      <c r="I26" s="362"/>
      <c r="J26" s="41"/>
      <c r="K26" s="392"/>
    </row>
    <row r="27" spans="1:11" ht="16.5" customHeight="1" thickTop="1">
      <c r="A27" s="16">
        <v>3</v>
      </c>
      <c r="B27" s="409" t="s">
        <v>123</v>
      </c>
      <c r="C27" s="21"/>
      <c r="D27" s="369" t="str">
        <f>AwayTeam!M5</f>
        <v>Otis Irwin</v>
      </c>
      <c r="E27" s="370"/>
      <c r="F27" s="339" t="s">
        <v>186</v>
      </c>
      <c r="G27" s="339">
        <v>2</v>
      </c>
      <c r="H27" s="339">
        <f>IF(G27="","", IF(G27=1,7,3))</f>
        <v>3</v>
      </c>
      <c r="I27" s="348">
        <v>3</v>
      </c>
      <c r="J27" s="57"/>
      <c r="K27" s="357"/>
    </row>
    <row r="28" spans="1:11" ht="15.75">
      <c r="A28" s="16"/>
      <c r="B28" s="407"/>
      <c r="C28" s="17">
        <v>3</v>
      </c>
      <c r="D28" s="369" t="str">
        <f>AwayTeam!M6</f>
        <v>Grace Gallagher</v>
      </c>
      <c r="E28" s="370"/>
      <c r="F28" s="340"/>
      <c r="G28" s="340"/>
      <c r="H28" s="340"/>
      <c r="I28" s="349"/>
      <c r="J28" s="57"/>
      <c r="K28" s="358"/>
    </row>
    <row r="29" spans="1:11" ht="15.75">
      <c r="A29" s="16"/>
      <c r="B29" s="407"/>
      <c r="C29" s="17"/>
      <c r="D29" s="369" t="str">
        <f>AwayTeam!M7</f>
        <v>Toby Dinsmore</v>
      </c>
      <c r="E29" s="370"/>
      <c r="F29" s="340"/>
      <c r="G29" s="340"/>
      <c r="H29" s="340"/>
      <c r="I29" s="349"/>
      <c r="J29" s="57"/>
      <c r="K29" s="358"/>
    </row>
    <row r="30" spans="1:11" ht="15.75">
      <c r="A30" s="16" t="s">
        <v>11</v>
      </c>
      <c r="B30" s="410"/>
      <c r="C30" s="18"/>
      <c r="D30" s="369">
        <f>AwayTeam!M8</f>
        <v>0</v>
      </c>
      <c r="E30" s="370"/>
      <c r="F30" s="341"/>
      <c r="G30" s="341"/>
      <c r="H30" s="341"/>
      <c r="I30" s="350"/>
      <c r="J30" s="58"/>
      <c r="K30" s="359"/>
    </row>
    <row r="31" spans="1:11" ht="15.75" customHeight="1">
      <c r="A31" s="16"/>
      <c r="B31" s="406" t="s">
        <v>54</v>
      </c>
      <c r="C31" s="17"/>
      <c r="D31" s="393">
        <f>HomeTeam!L5</f>
        <v>0</v>
      </c>
      <c r="E31" s="394"/>
      <c r="F31" s="344" t="s">
        <v>185</v>
      </c>
      <c r="G31" s="345">
        <v>1</v>
      </c>
      <c r="H31" s="344">
        <f>IF(G31="","", IF(G31=1,7,3))</f>
        <v>7</v>
      </c>
      <c r="I31" s="360"/>
      <c r="J31" s="40"/>
      <c r="K31" s="390">
        <f>IF(ISBLANK($G31),"",(IF($G31=2,(IF($G27&lt;&gt;1,"ERR",3)),(IF($G27=1,"ERR",7)))))</f>
        <v>7</v>
      </c>
    </row>
    <row r="32" spans="1:11" ht="15.75">
      <c r="A32" s="16"/>
      <c r="B32" s="407"/>
      <c r="C32" s="17">
        <v>4</v>
      </c>
      <c r="D32" s="393">
        <f>HomeTeam!L6</f>
        <v>0</v>
      </c>
      <c r="E32" s="394"/>
      <c r="F32" s="340"/>
      <c r="G32" s="346"/>
      <c r="H32" s="340"/>
      <c r="I32" s="361"/>
      <c r="J32" s="41"/>
      <c r="K32" s="391"/>
    </row>
    <row r="33" spans="1:11" ht="15.75">
      <c r="A33" s="16"/>
      <c r="B33" s="407"/>
      <c r="C33" s="17"/>
      <c r="D33" s="393">
        <f>HomeTeam!L7</f>
        <v>0</v>
      </c>
      <c r="E33" s="394"/>
      <c r="F33" s="340"/>
      <c r="G33" s="346"/>
      <c r="H33" s="340"/>
      <c r="I33" s="361"/>
      <c r="J33" s="41"/>
      <c r="K33" s="391"/>
    </row>
    <row r="34" spans="1:11" ht="16.5" thickBot="1">
      <c r="A34" s="19"/>
      <c r="B34" s="408"/>
      <c r="C34" s="20"/>
      <c r="D34" s="395">
        <f>HomeTeam!L8</f>
        <v>0</v>
      </c>
      <c r="E34" s="396"/>
      <c r="F34" s="343"/>
      <c r="G34" s="347"/>
      <c r="H34" s="343"/>
      <c r="I34" s="362"/>
      <c r="J34" s="41"/>
      <c r="K34" s="392"/>
    </row>
    <row r="35" spans="1:11" ht="16.5" customHeight="1" thickTop="1">
      <c r="A35" s="16">
        <v>4</v>
      </c>
      <c r="B35" s="409" t="s">
        <v>123</v>
      </c>
      <c r="C35" s="21"/>
      <c r="D35" s="369" t="str">
        <f>AwayTeam!M9</f>
        <v>Charlie Whiteside</v>
      </c>
      <c r="E35" s="370"/>
      <c r="F35" s="339" t="s">
        <v>188</v>
      </c>
      <c r="G35" s="339">
        <v>2</v>
      </c>
      <c r="H35" s="339">
        <f>IF(G35="","", IF(G35=1,7,3))</f>
        <v>3</v>
      </c>
      <c r="I35" s="348">
        <v>3</v>
      </c>
      <c r="J35" s="57"/>
      <c r="K35" s="357"/>
    </row>
    <row r="36" spans="1:11" ht="15.75">
      <c r="A36" s="16"/>
      <c r="B36" s="407"/>
      <c r="C36" s="17">
        <v>3</v>
      </c>
      <c r="D36" s="368" t="str">
        <f>AwayTeam!M10</f>
        <v>Annaleece Hetherington</v>
      </c>
      <c r="E36" s="375"/>
      <c r="F36" s="340"/>
      <c r="G36" s="340"/>
      <c r="H36" s="340"/>
      <c r="I36" s="349"/>
      <c r="J36" s="57"/>
      <c r="K36" s="358"/>
    </row>
    <row r="37" spans="1:11" ht="15.75">
      <c r="A37" s="16"/>
      <c r="B37" s="407"/>
      <c r="C37" s="17"/>
      <c r="D37" s="368" t="str">
        <f>AwayTeam!M11</f>
        <v>Niamh Mc Henry</v>
      </c>
      <c r="E37" s="375"/>
      <c r="F37" s="340"/>
      <c r="G37" s="340"/>
      <c r="H37" s="340"/>
      <c r="I37" s="349"/>
      <c r="J37" s="57"/>
      <c r="K37" s="358"/>
    </row>
    <row r="38" spans="1:11" ht="15.75">
      <c r="A38" s="16" t="s">
        <v>12</v>
      </c>
      <c r="B38" s="410"/>
      <c r="C38" s="18"/>
      <c r="D38" s="368" t="str">
        <f>AwayTeam!M12</f>
        <v>Tom Mc Shane</v>
      </c>
      <c r="E38" s="375"/>
      <c r="F38" s="341"/>
      <c r="G38" s="341"/>
      <c r="H38" s="341"/>
      <c r="I38" s="350"/>
      <c r="J38" s="58"/>
      <c r="K38" s="359"/>
    </row>
    <row r="39" spans="1:11" ht="15.75" customHeight="1">
      <c r="A39" s="16"/>
      <c r="B39" s="406" t="s">
        <v>54</v>
      </c>
      <c r="C39" s="17"/>
      <c r="D39" s="368">
        <f>HomeTeam!L9</f>
        <v>0</v>
      </c>
      <c r="E39" s="375"/>
      <c r="F39" s="344" t="s">
        <v>187</v>
      </c>
      <c r="G39" s="345">
        <v>1</v>
      </c>
      <c r="H39" s="344">
        <f>IF(G39="","", IF(G39=1,7,3))</f>
        <v>7</v>
      </c>
      <c r="I39" s="360"/>
      <c r="J39" s="40"/>
      <c r="K39" s="390">
        <f>IF(ISBLANK($G39),"",(IF($G39=2,(IF($G35&lt;&gt;1,"ERR",3)),(IF($G35=1,"ERR",7)))))</f>
        <v>7</v>
      </c>
    </row>
    <row r="40" spans="1:11" ht="15.75">
      <c r="A40" s="16"/>
      <c r="B40" s="407"/>
      <c r="C40" s="17">
        <v>4</v>
      </c>
      <c r="D40" s="368">
        <f>HomeTeam!L10</f>
        <v>0</v>
      </c>
      <c r="E40" s="375"/>
      <c r="F40" s="340"/>
      <c r="G40" s="346"/>
      <c r="H40" s="340"/>
      <c r="I40" s="361"/>
      <c r="J40" s="41"/>
      <c r="K40" s="391"/>
    </row>
    <row r="41" spans="1:11" ht="15.75">
      <c r="A41" s="16"/>
      <c r="B41" s="407"/>
      <c r="C41" s="17"/>
      <c r="D41" s="368">
        <f>HomeTeam!L11</f>
        <v>0</v>
      </c>
      <c r="E41" s="375"/>
      <c r="F41" s="340"/>
      <c r="G41" s="346"/>
      <c r="H41" s="340"/>
      <c r="I41" s="361"/>
      <c r="J41" s="41"/>
      <c r="K41" s="391"/>
    </row>
    <row r="42" spans="1:11" ht="16.5" thickBot="1">
      <c r="A42" s="19"/>
      <c r="B42" s="408"/>
      <c r="C42" s="20"/>
      <c r="D42" s="377">
        <f>HomeTeam!L12</f>
        <v>0</v>
      </c>
      <c r="E42" s="378"/>
      <c r="F42" s="343"/>
      <c r="G42" s="347"/>
      <c r="H42" s="343"/>
      <c r="I42" s="362"/>
      <c r="J42" s="41"/>
      <c r="K42" s="392"/>
    </row>
    <row r="43" spans="1:11" ht="16.5" thickTop="1">
      <c r="A43" s="37"/>
      <c r="B43" s="26"/>
      <c r="C43" s="26"/>
      <c r="D43" s="38"/>
      <c r="E43" s="38"/>
      <c r="F43" s="26"/>
      <c r="G43" s="25" t="s">
        <v>13</v>
      </c>
      <c r="H43" s="26"/>
      <c r="I43" s="138">
        <f>SUM(I11,I19,I27,I35)</f>
        <v>16</v>
      </c>
      <c r="J43" s="135"/>
      <c r="K43" s="138">
        <f>SUM(K15,K23,K31,K39)</f>
        <v>24</v>
      </c>
    </row>
    <row r="44" spans="1:11" ht="15.75">
      <c r="A44" s="37"/>
      <c r="B44" s="26"/>
      <c r="C44" s="26"/>
      <c r="D44" s="38"/>
      <c r="E44" s="38"/>
      <c r="F44" s="26"/>
      <c r="G44" s="25" t="s">
        <v>15</v>
      </c>
      <c r="H44" s="26"/>
      <c r="I44" s="139"/>
      <c r="J44" s="136"/>
      <c r="K44" s="139"/>
    </row>
    <row r="45" spans="1:11" ht="16.5" thickBot="1">
      <c r="A45" s="39"/>
      <c r="B45" s="22"/>
      <c r="C45" s="22"/>
      <c r="D45" s="15"/>
      <c r="E45" s="15"/>
      <c r="F45" s="22"/>
      <c r="G45" s="27" t="s">
        <v>18</v>
      </c>
      <c r="H45" s="22"/>
      <c r="I45" s="140">
        <v>16</v>
      </c>
      <c r="J45" s="137"/>
      <c r="K45" s="140">
        <v>24</v>
      </c>
    </row>
    <row r="46" spans="1:11" ht="6" customHeight="1"/>
    <row r="47" spans="1:11">
      <c r="A47" s="411" t="s">
        <v>21</v>
      </c>
      <c r="B47" s="411"/>
      <c r="C47" s="411"/>
      <c r="D47" s="411"/>
      <c r="E47" s="411"/>
      <c r="F47" s="411"/>
      <c r="G47" s="411"/>
      <c r="H47" s="411"/>
      <c r="I47" s="411"/>
      <c r="J47" s="411"/>
      <c r="K47" s="411"/>
    </row>
    <row r="48" spans="1:11" ht="2.25" customHeight="1" thickBot="1"/>
    <row r="49" spans="1:11" ht="11.85" customHeight="1" thickBot="1">
      <c r="A49" s="100" t="s">
        <v>0</v>
      </c>
      <c r="B49" s="101" t="s">
        <v>1</v>
      </c>
      <c r="C49" s="101" t="s">
        <v>2</v>
      </c>
      <c r="D49" s="353" t="s">
        <v>3</v>
      </c>
      <c r="E49" s="354"/>
      <c r="F49" s="206" t="s">
        <v>4</v>
      </c>
      <c r="G49" s="215" t="s">
        <v>5</v>
      </c>
      <c r="H49" s="206" t="s">
        <v>6</v>
      </c>
      <c r="I49" s="398" t="s">
        <v>6</v>
      </c>
      <c r="J49" s="399"/>
      <c r="K49" s="400"/>
    </row>
    <row r="50" spans="1:11" ht="11.85" customHeight="1">
      <c r="A50" s="102"/>
      <c r="B50" s="401" t="str">
        <f>AwayTeam!$D$2</f>
        <v>Limavady</v>
      </c>
      <c r="C50" s="103">
        <v>1</v>
      </c>
      <c r="D50" s="384" t="str">
        <f>AwayTeam!$D$13</f>
        <v>Caelyn O Connor</v>
      </c>
      <c r="E50" s="385"/>
      <c r="F50" s="104">
        <v>26.69</v>
      </c>
      <c r="G50" s="207">
        <v>2</v>
      </c>
      <c r="H50" s="168">
        <f>IF(OR(G50="",G50=5,G50=6, G50=7, G50=8),"",IF(G50=4,1,IF(G50=3,2,IF(G50=2,3,4))))</f>
        <v>3</v>
      </c>
      <c r="I50" s="348">
        <v>7</v>
      </c>
      <c r="J50" s="106"/>
      <c r="K50" s="364"/>
    </row>
    <row r="51" spans="1:11" ht="11.85" customHeight="1">
      <c r="A51" s="107"/>
      <c r="B51" s="402"/>
      <c r="C51" s="108">
        <v>3</v>
      </c>
      <c r="D51" s="383" t="str">
        <f>AwayTeam!$E$13</f>
        <v>Miya Mc Clamont</v>
      </c>
      <c r="E51" s="351"/>
      <c r="F51" s="109">
        <v>22.24</v>
      </c>
      <c r="G51" s="208">
        <v>1</v>
      </c>
      <c r="H51" s="166">
        <f t="shared" ref="H51:H57" si="0">IF(OR(G51="",G51=5,G51=6, G51=7, G51=8),"",IF(G51=4,1,IF(G51=3,2,IF(G51=2,3,4))))</f>
        <v>4</v>
      </c>
      <c r="I51" s="349"/>
      <c r="J51" s="110"/>
      <c r="K51" s="365"/>
    </row>
    <row r="52" spans="1:11" ht="11.85" customHeight="1">
      <c r="A52" s="107">
        <v>5</v>
      </c>
      <c r="B52" s="402"/>
      <c r="C52" s="108">
        <v>5</v>
      </c>
      <c r="D52" s="383" t="str">
        <f>AwayTeam!$F$13</f>
        <v>Grace Gallagher</v>
      </c>
      <c r="E52" s="351"/>
      <c r="F52" s="109">
        <v>27.23</v>
      </c>
      <c r="G52" s="208">
        <v>5</v>
      </c>
      <c r="H52" s="166" t="str">
        <f t="shared" si="0"/>
        <v/>
      </c>
      <c r="I52" s="349"/>
      <c r="J52" s="110"/>
      <c r="K52" s="365"/>
    </row>
    <row r="53" spans="1:11" ht="11.85" customHeight="1" thickBot="1">
      <c r="A53" s="107" t="s">
        <v>7</v>
      </c>
      <c r="B53" s="403"/>
      <c r="C53" s="108">
        <v>7</v>
      </c>
      <c r="D53" s="386" t="str">
        <f>AwayTeam!$G$13</f>
        <v>Maise Campbell</v>
      </c>
      <c r="E53" s="387"/>
      <c r="F53" s="109">
        <v>30.2</v>
      </c>
      <c r="G53" s="208">
        <v>7</v>
      </c>
      <c r="H53" s="166" t="str">
        <f t="shared" si="0"/>
        <v/>
      </c>
      <c r="I53" s="350"/>
      <c r="J53" s="111"/>
      <c r="K53" s="366"/>
    </row>
    <row r="54" spans="1:11" ht="11.85" customHeight="1" thickBot="1">
      <c r="A54" s="107" t="s">
        <v>8</v>
      </c>
      <c r="B54" s="402" t="str">
        <f>HomeTeam!$D$2</f>
        <v>Lisburn</v>
      </c>
      <c r="C54" s="108">
        <v>2</v>
      </c>
      <c r="D54" s="351">
        <f>HomeTeam!$D$13</f>
        <v>0</v>
      </c>
      <c r="E54" s="352"/>
      <c r="F54" s="109">
        <v>26.75</v>
      </c>
      <c r="G54" s="208">
        <v>4</v>
      </c>
      <c r="H54" s="166">
        <f t="shared" si="0"/>
        <v>1</v>
      </c>
      <c r="I54" s="364"/>
      <c r="J54" s="105"/>
      <c r="K54" s="412">
        <v>3</v>
      </c>
    </row>
    <row r="55" spans="1:11" ht="11.85" customHeight="1" thickBot="1">
      <c r="A55" s="107"/>
      <c r="B55" s="402"/>
      <c r="C55" s="108">
        <v>4</v>
      </c>
      <c r="D55" s="351">
        <f>HomeTeam!$E$13</f>
        <v>0</v>
      </c>
      <c r="E55" s="352"/>
      <c r="F55" s="109">
        <v>26.84</v>
      </c>
      <c r="G55" s="208">
        <v>3</v>
      </c>
      <c r="H55" s="166">
        <f t="shared" si="0"/>
        <v>2</v>
      </c>
      <c r="I55" s="365"/>
      <c r="J55" s="105"/>
      <c r="K55" s="413"/>
    </row>
    <row r="56" spans="1:11" ht="11.85" customHeight="1" thickBot="1">
      <c r="A56" s="107"/>
      <c r="B56" s="402"/>
      <c r="C56" s="108">
        <v>6</v>
      </c>
      <c r="D56" s="351">
        <f>HomeTeam!$F$13</f>
        <v>0</v>
      </c>
      <c r="E56" s="352"/>
      <c r="F56" s="109">
        <v>29.41</v>
      </c>
      <c r="G56" s="208">
        <v>6</v>
      </c>
      <c r="H56" s="166" t="str">
        <f t="shared" si="0"/>
        <v/>
      </c>
      <c r="I56" s="365"/>
      <c r="J56" s="105"/>
      <c r="K56" s="413"/>
    </row>
    <row r="57" spans="1:11" ht="11.85" customHeight="1" thickBot="1">
      <c r="A57" s="112"/>
      <c r="B57" s="405"/>
      <c r="C57" s="113">
        <v>8</v>
      </c>
      <c r="D57" s="355">
        <f>HomeTeam!$G$13</f>
        <v>0</v>
      </c>
      <c r="E57" s="356"/>
      <c r="F57" s="114">
        <v>28.66</v>
      </c>
      <c r="G57" s="209">
        <v>8</v>
      </c>
      <c r="H57" s="167" t="str">
        <f t="shared" si="0"/>
        <v/>
      </c>
      <c r="I57" s="366"/>
      <c r="J57" s="105"/>
      <c r="K57" s="414"/>
    </row>
    <row r="58" spans="1:11" ht="11.85" customHeight="1">
      <c r="A58" s="115"/>
      <c r="B58" s="401" t="str">
        <f>AwayTeam!$D$2</f>
        <v>Limavady</v>
      </c>
      <c r="C58" s="103">
        <v>1</v>
      </c>
      <c r="D58" s="384" t="str">
        <f>AwayTeam!$K$13</f>
        <v>Henry Connell</v>
      </c>
      <c r="E58" s="385"/>
      <c r="F58" s="116">
        <v>24.52</v>
      </c>
      <c r="G58" s="210">
        <v>4</v>
      </c>
      <c r="H58" s="168">
        <f>IF(OR(G58="",G58=5,G58=6, G58=7, G58=8),"",IF(G58=4,1,IF(G58=3,2,IF(G58=2,3,4))))</f>
        <v>1</v>
      </c>
      <c r="I58" s="348">
        <v>3</v>
      </c>
      <c r="J58" s="152"/>
      <c r="K58" s="364"/>
    </row>
    <row r="59" spans="1:11" ht="11.85" customHeight="1">
      <c r="A59" s="115"/>
      <c r="B59" s="402"/>
      <c r="C59" s="108">
        <v>3</v>
      </c>
      <c r="D59" s="383" t="str">
        <f>AwayTeam!$L$13</f>
        <v>Tom Cormie</v>
      </c>
      <c r="E59" s="351"/>
      <c r="F59" s="109">
        <v>24.67</v>
      </c>
      <c r="G59" s="208">
        <v>3</v>
      </c>
      <c r="H59" s="166">
        <f t="shared" ref="H59:H65" si="1">IF(OR(G59="",G59=5,G59=6, G59=7, G59=8),"",IF(G59=4,1,IF(G59=3,2,IF(G59=2,3,4))))</f>
        <v>2</v>
      </c>
      <c r="I59" s="349"/>
      <c r="J59" s="153"/>
      <c r="K59" s="365"/>
    </row>
    <row r="60" spans="1:11" ht="11.85" customHeight="1">
      <c r="A60" s="115">
        <v>6</v>
      </c>
      <c r="B60" s="402"/>
      <c r="C60" s="108">
        <v>5</v>
      </c>
      <c r="D60" s="383" t="str">
        <f>AwayTeam!$M$13</f>
        <v>Harry Butcher</v>
      </c>
      <c r="E60" s="351"/>
      <c r="F60" s="109">
        <v>28</v>
      </c>
      <c r="G60" s="208">
        <v>7</v>
      </c>
      <c r="H60" s="166" t="str">
        <f t="shared" si="1"/>
        <v/>
      </c>
      <c r="I60" s="349"/>
      <c r="J60" s="153"/>
      <c r="K60" s="365"/>
    </row>
    <row r="61" spans="1:11" ht="11.85" customHeight="1" thickBot="1">
      <c r="A61" s="115" t="s">
        <v>7</v>
      </c>
      <c r="B61" s="403"/>
      <c r="C61" s="108">
        <v>7</v>
      </c>
      <c r="D61" s="386" t="str">
        <f>AwayTeam!$N$13</f>
        <v>Aodhan Gallagher</v>
      </c>
      <c r="E61" s="387"/>
      <c r="F61" s="109">
        <v>36.97</v>
      </c>
      <c r="G61" s="208">
        <v>8</v>
      </c>
      <c r="H61" s="166" t="str">
        <f t="shared" si="1"/>
        <v/>
      </c>
      <c r="I61" s="350"/>
      <c r="J61" s="154"/>
      <c r="K61" s="366"/>
    </row>
    <row r="62" spans="1:11" ht="11.85" customHeight="1" thickBot="1">
      <c r="A62" s="115" t="s">
        <v>9</v>
      </c>
      <c r="B62" s="404" t="str">
        <f>HomeTeam!$D$2</f>
        <v>Lisburn</v>
      </c>
      <c r="C62" s="108">
        <v>2</v>
      </c>
      <c r="D62" s="351">
        <f>HomeTeam!$K$13</f>
        <v>0</v>
      </c>
      <c r="E62" s="352"/>
      <c r="F62" s="109">
        <v>25.46</v>
      </c>
      <c r="G62" s="208">
        <v>6</v>
      </c>
      <c r="H62" s="166" t="str">
        <f t="shared" si="1"/>
        <v/>
      </c>
      <c r="I62" s="364"/>
      <c r="J62" s="105"/>
      <c r="K62" s="412">
        <v>7</v>
      </c>
    </row>
    <row r="63" spans="1:11" ht="11.85" customHeight="1" thickBot="1">
      <c r="A63" s="115"/>
      <c r="B63" s="402"/>
      <c r="C63" s="108">
        <v>4</v>
      </c>
      <c r="D63" s="351">
        <f>HomeTeam!$L$13</f>
        <v>0</v>
      </c>
      <c r="E63" s="352"/>
      <c r="F63" s="109">
        <v>21.27</v>
      </c>
      <c r="G63" s="208">
        <v>1</v>
      </c>
      <c r="H63" s="166">
        <f t="shared" si="1"/>
        <v>4</v>
      </c>
      <c r="I63" s="365"/>
      <c r="J63" s="105"/>
      <c r="K63" s="413"/>
    </row>
    <row r="64" spans="1:11" ht="11.85" customHeight="1" thickBot="1">
      <c r="A64" s="115"/>
      <c r="B64" s="402"/>
      <c r="C64" s="108">
        <v>6</v>
      </c>
      <c r="D64" s="351">
        <f>HomeTeam!$M$13</f>
        <v>0</v>
      </c>
      <c r="E64" s="352"/>
      <c r="F64" s="109">
        <v>24.73</v>
      </c>
      <c r="G64" s="208">
        <v>5</v>
      </c>
      <c r="H64" s="166" t="str">
        <f t="shared" si="1"/>
        <v/>
      </c>
      <c r="I64" s="365"/>
      <c r="J64" s="105"/>
      <c r="K64" s="413"/>
    </row>
    <row r="65" spans="1:11" ht="11.85" customHeight="1" thickBot="1">
      <c r="A65" s="117"/>
      <c r="B65" s="405"/>
      <c r="C65" s="113">
        <v>8</v>
      </c>
      <c r="D65" s="355">
        <f>HomeTeam!$N$13</f>
        <v>0</v>
      </c>
      <c r="E65" s="356"/>
      <c r="F65" s="114">
        <v>23.38</v>
      </c>
      <c r="G65" s="209">
        <v>2</v>
      </c>
      <c r="H65" s="167">
        <f t="shared" si="1"/>
        <v>3</v>
      </c>
      <c r="I65" s="366"/>
      <c r="J65" s="105"/>
      <c r="K65" s="414"/>
    </row>
    <row r="66" spans="1:11" ht="11.85" customHeight="1">
      <c r="A66" s="115"/>
      <c r="B66" s="401" t="str">
        <f>AwayTeam!$D$2</f>
        <v>Limavady</v>
      </c>
      <c r="C66" s="103">
        <v>1</v>
      </c>
      <c r="D66" s="384" t="str">
        <f>AwayTeam!$D$14</f>
        <v>Emma Gallagher</v>
      </c>
      <c r="E66" s="385"/>
      <c r="F66" s="116">
        <v>22.23</v>
      </c>
      <c r="G66" s="207">
        <v>4</v>
      </c>
      <c r="H66" s="168">
        <f>IF(OR(G66="",G66=5,G66=6, G66=7, G66=8),"",IF(G66=4,1,IF(G66=3,2,IF(G66=2,3,4))))</f>
        <v>1</v>
      </c>
      <c r="I66" s="348">
        <v>3</v>
      </c>
      <c r="J66" s="152"/>
      <c r="K66" s="364"/>
    </row>
    <row r="67" spans="1:11" ht="11.85" customHeight="1">
      <c r="A67" s="115"/>
      <c r="B67" s="402"/>
      <c r="C67" s="108">
        <v>3</v>
      </c>
      <c r="D67" s="383" t="str">
        <f>AwayTeam!$E$14</f>
        <v>Alice Cladwell</v>
      </c>
      <c r="E67" s="351"/>
      <c r="F67" s="109">
        <v>21.2</v>
      </c>
      <c r="G67" s="208">
        <v>3</v>
      </c>
      <c r="H67" s="166">
        <f t="shared" ref="H67:H73" si="2">IF(OR(G67="",G67=5,G67=6, G67=7, G67=8),"",IF(G67=4,1,IF(G67=3,2,IF(G67=2,3,4))))</f>
        <v>2</v>
      </c>
      <c r="I67" s="349"/>
      <c r="J67" s="153"/>
      <c r="K67" s="365"/>
    </row>
    <row r="68" spans="1:11" ht="11.85" customHeight="1">
      <c r="A68" s="115">
        <v>7</v>
      </c>
      <c r="B68" s="402"/>
      <c r="C68" s="108">
        <v>5</v>
      </c>
      <c r="D68" s="383" t="str">
        <f>AwayTeam!$F$14</f>
        <v>Sofie Halcrow</v>
      </c>
      <c r="E68" s="351"/>
      <c r="F68" s="109">
        <v>24</v>
      </c>
      <c r="G68" s="208">
        <v>6</v>
      </c>
      <c r="H68" s="166" t="str">
        <f t="shared" si="2"/>
        <v/>
      </c>
      <c r="I68" s="349"/>
      <c r="J68" s="153"/>
      <c r="K68" s="365"/>
    </row>
    <row r="69" spans="1:11" ht="11.85" customHeight="1" thickBot="1">
      <c r="A69" s="115" t="s">
        <v>10</v>
      </c>
      <c r="B69" s="403"/>
      <c r="C69" s="108">
        <v>7</v>
      </c>
      <c r="D69" s="386" t="str">
        <f>AwayTeam!$G$14</f>
        <v>Eva Campell</v>
      </c>
      <c r="E69" s="387"/>
      <c r="F69" s="109">
        <v>22.56</v>
      </c>
      <c r="G69" s="208">
        <v>7</v>
      </c>
      <c r="H69" s="166" t="str">
        <f t="shared" si="2"/>
        <v/>
      </c>
      <c r="I69" s="350"/>
      <c r="J69" s="154"/>
      <c r="K69" s="366"/>
    </row>
    <row r="70" spans="1:11" ht="11.85" customHeight="1" thickBot="1">
      <c r="A70" s="115" t="s">
        <v>8</v>
      </c>
      <c r="B70" s="404" t="str">
        <f>HomeTeam!$D$2</f>
        <v>Lisburn</v>
      </c>
      <c r="C70" s="108">
        <v>2</v>
      </c>
      <c r="D70" s="351">
        <f>HomeTeam!$D$14</f>
        <v>0</v>
      </c>
      <c r="E70" s="352"/>
      <c r="F70" s="109">
        <v>21.03</v>
      </c>
      <c r="G70" s="208">
        <v>5</v>
      </c>
      <c r="H70" s="166" t="str">
        <f t="shared" si="2"/>
        <v/>
      </c>
      <c r="I70" s="364"/>
      <c r="J70" s="105"/>
      <c r="K70" s="412">
        <v>7</v>
      </c>
    </row>
    <row r="71" spans="1:11" ht="11.85" customHeight="1" thickBot="1">
      <c r="A71" s="115"/>
      <c r="B71" s="402"/>
      <c r="C71" s="108">
        <v>4</v>
      </c>
      <c r="D71" s="351">
        <f>HomeTeam!$E$14</f>
        <v>0</v>
      </c>
      <c r="E71" s="352"/>
      <c r="F71" s="109">
        <v>20.43</v>
      </c>
      <c r="G71" s="208">
        <v>1</v>
      </c>
      <c r="H71" s="166">
        <f t="shared" si="2"/>
        <v>4</v>
      </c>
      <c r="I71" s="365"/>
      <c r="J71" s="105"/>
      <c r="K71" s="413"/>
    </row>
    <row r="72" spans="1:11" ht="11.85" customHeight="1" thickBot="1">
      <c r="A72" s="115"/>
      <c r="B72" s="402"/>
      <c r="C72" s="108">
        <v>6</v>
      </c>
      <c r="D72" s="351">
        <f>HomeTeam!$F$14</f>
        <v>0</v>
      </c>
      <c r="E72" s="352"/>
      <c r="F72" s="109">
        <v>21.09</v>
      </c>
      <c r="G72" s="208">
        <v>2</v>
      </c>
      <c r="H72" s="166">
        <f t="shared" si="2"/>
        <v>3</v>
      </c>
      <c r="I72" s="365"/>
      <c r="J72" s="105"/>
      <c r="K72" s="413"/>
    </row>
    <row r="73" spans="1:11" ht="11.85" customHeight="1" thickBot="1">
      <c r="A73" s="117"/>
      <c r="B73" s="405"/>
      <c r="C73" s="113">
        <v>8</v>
      </c>
      <c r="D73" s="355">
        <f>HomeTeam!$G$14</f>
        <v>0</v>
      </c>
      <c r="E73" s="356"/>
      <c r="F73" s="114">
        <v>22.67</v>
      </c>
      <c r="G73" s="209">
        <v>8</v>
      </c>
      <c r="H73" s="167" t="str">
        <f t="shared" si="2"/>
        <v/>
      </c>
      <c r="I73" s="366"/>
      <c r="J73" s="105"/>
      <c r="K73" s="414"/>
    </row>
    <row r="74" spans="1:11" ht="11.85" customHeight="1">
      <c r="A74" s="115"/>
      <c r="B74" s="401" t="str">
        <f>AwayTeam!$D$2</f>
        <v>Limavady</v>
      </c>
      <c r="C74" s="103">
        <v>1</v>
      </c>
      <c r="D74" s="388" t="str">
        <f>AwayTeam!$K$14</f>
        <v>Kevin Mc Macken</v>
      </c>
      <c r="E74" s="389"/>
      <c r="F74" s="116">
        <v>21</v>
      </c>
      <c r="G74" s="207">
        <v>2</v>
      </c>
      <c r="H74" s="168">
        <f>IF(OR(G74="",G74=5,G74=6, G74=7, G74=8),"",IF(G74=4,1,IF(G74=3,2,IF(G74=2,3,4))))</f>
        <v>3</v>
      </c>
      <c r="I74" s="348">
        <v>7</v>
      </c>
      <c r="J74" s="152"/>
      <c r="K74" s="364"/>
    </row>
    <row r="75" spans="1:11" ht="11.85" customHeight="1">
      <c r="A75" s="115"/>
      <c r="B75" s="402"/>
      <c r="C75" s="108">
        <v>3</v>
      </c>
      <c r="D75" s="383" t="str">
        <f>AwayTeam!$L$14</f>
        <v>Sam S H</v>
      </c>
      <c r="E75" s="351"/>
      <c r="F75" s="109">
        <v>20.09</v>
      </c>
      <c r="G75" s="208">
        <v>1</v>
      </c>
      <c r="H75" s="166">
        <f t="shared" ref="H75:H81" si="3">IF(OR(G75="",G75=5,G75=6, G75=7, G75=8),"",IF(G75=4,1,IF(G75=3,2,IF(G75=2,3,4))))</f>
        <v>4</v>
      </c>
      <c r="I75" s="349"/>
      <c r="J75" s="153"/>
      <c r="K75" s="365"/>
    </row>
    <row r="76" spans="1:11" ht="11.85" customHeight="1">
      <c r="A76" s="115">
        <v>8</v>
      </c>
      <c r="B76" s="402"/>
      <c r="C76" s="108">
        <v>5</v>
      </c>
      <c r="D76" s="383" t="str">
        <f>AwayTeam!$M$14</f>
        <v>Toby Dinsmore</v>
      </c>
      <c r="E76" s="351"/>
      <c r="F76" s="109">
        <v>23</v>
      </c>
      <c r="G76" s="208">
        <v>6</v>
      </c>
      <c r="H76" s="166" t="str">
        <f t="shared" si="3"/>
        <v/>
      </c>
      <c r="I76" s="349"/>
      <c r="J76" s="153"/>
      <c r="K76" s="365"/>
    </row>
    <row r="77" spans="1:11" ht="11.85" customHeight="1" thickBot="1">
      <c r="A77" s="115" t="s">
        <v>10</v>
      </c>
      <c r="B77" s="403"/>
      <c r="C77" s="108">
        <v>7</v>
      </c>
      <c r="D77" s="386" t="str">
        <f>AwayTeam!$N$14</f>
        <v>Cody Blair</v>
      </c>
      <c r="E77" s="387"/>
      <c r="F77" s="109">
        <v>23.5</v>
      </c>
      <c r="G77" s="208">
        <v>8</v>
      </c>
      <c r="H77" s="166" t="str">
        <f t="shared" si="3"/>
        <v/>
      </c>
      <c r="I77" s="350"/>
      <c r="J77" s="154"/>
      <c r="K77" s="366"/>
    </row>
    <row r="78" spans="1:11" ht="11.85" customHeight="1" thickBot="1">
      <c r="A78" s="115" t="s">
        <v>9</v>
      </c>
      <c r="B78" s="404" t="str">
        <f>HomeTeam!$D$2</f>
        <v>Lisburn</v>
      </c>
      <c r="C78" s="108">
        <v>2</v>
      </c>
      <c r="D78" s="351">
        <f>HomeTeam!$K$14</f>
        <v>0</v>
      </c>
      <c r="E78" s="352"/>
      <c r="F78" s="109">
        <v>23.47</v>
      </c>
      <c r="G78" s="208"/>
      <c r="H78" s="166" t="str">
        <f t="shared" si="3"/>
        <v/>
      </c>
      <c r="I78" s="364"/>
      <c r="J78" s="105"/>
      <c r="K78" s="412">
        <v>3</v>
      </c>
    </row>
    <row r="79" spans="1:11" ht="11.85" customHeight="1" thickBot="1">
      <c r="A79" s="115"/>
      <c r="B79" s="402"/>
      <c r="C79" s="108">
        <v>4</v>
      </c>
      <c r="D79" s="351">
        <f>HomeTeam!$L$14</f>
        <v>0</v>
      </c>
      <c r="E79" s="352"/>
      <c r="F79" s="109">
        <v>21.44</v>
      </c>
      <c r="G79" s="208">
        <v>3</v>
      </c>
      <c r="H79" s="166">
        <f t="shared" si="3"/>
        <v>2</v>
      </c>
      <c r="I79" s="365"/>
      <c r="J79" s="105"/>
      <c r="K79" s="413"/>
    </row>
    <row r="80" spans="1:11" ht="11.85" customHeight="1" thickBot="1">
      <c r="A80" s="115"/>
      <c r="B80" s="402"/>
      <c r="C80" s="108">
        <v>6</v>
      </c>
      <c r="D80" s="351">
        <f>HomeTeam!$M$14</f>
        <v>0</v>
      </c>
      <c r="E80" s="352"/>
      <c r="F80" s="109">
        <v>21.83</v>
      </c>
      <c r="G80" s="208">
        <v>4</v>
      </c>
      <c r="H80" s="166">
        <f t="shared" si="3"/>
        <v>1</v>
      </c>
      <c r="I80" s="365"/>
      <c r="J80" s="105"/>
      <c r="K80" s="413"/>
    </row>
    <row r="81" spans="1:11" ht="11.85" customHeight="1" thickBot="1">
      <c r="A81" s="117"/>
      <c r="B81" s="405"/>
      <c r="C81" s="113">
        <v>8</v>
      </c>
      <c r="D81" s="355">
        <f>HomeTeam!$N$14</f>
        <v>0</v>
      </c>
      <c r="E81" s="356"/>
      <c r="F81" s="114">
        <v>24.58</v>
      </c>
      <c r="G81" s="209">
        <v>7</v>
      </c>
      <c r="H81" s="167" t="str">
        <f t="shared" si="3"/>
        <v/>
      </c>
      <c r="I81" s="366"/>
      <c r="J81" s="105"/>
      <c r="K81" s="414"/>
    </row>
    <row r="82" spans="1:11" ht="11.85" customHeight="1">
      <c r="A82" s="115"/>
      <c r="B82" s="401" t="str">
        <f>AwayTeam!$D$2</f>
        <v>Limavady</v>
      </c>
      <c r="C82" s="103">
        <v>1</v>
      </c>
      <c r="D82" s="384" t="str">
        <f>AwayTeam!$D$15</f>
        <v>Brooke Mc Clamont</v>
      </c>
      <c r="E82" s="385"/>
      <c r="F82" s="116">
        <v>20.149999999999999</v>
      </c>
      <c r="G82" s="207">
        <v>4</v>
      </c>
      <c r="H82" s="168">
        <f>IF(OR(G82="",G82=5,G82=6, G82=7, G82=8),"",IF(G82=4,1,IF(G82=3,2,IF(G82=2,3,4))))</f>
        <v>1</v>
      </c>
      <c r="I82" s="348">
        <v>4</v>
      </c>
      <c r="J82" s="152"/>
      <c r="K82" s="364"/>
    </row>
    <row r="83" spans="1:11" ht="11.85" customHeight="1">
      <c r="A83" s="115"/>
      <c r="B83" s="402"/>
      <c r="C83" s="108">
        <v>3</v>
      </c>
      <c r="D83" s="383" t="str">
        <f>AwayTeam!$E$15</f>
        <v>Anna Mc Gookin</v>
      </c>
      <c r="E83" s="351"/>
      <c r="F83" s="109">
        <v>19.920000000000002</v>
      </c>
      <c r="G83" s="208">
        <v>2</v>
      </c>
      <c r="H83" s="166">
        <f t="shared" ref="H83:H89" si="4">IF(OR(G83="",G83=5,G83=6, G83=7, G83=8),"",IF(G83=4,1,IF(G83=3,2,IF(G83=2,3,4))))</f>
        <v>3</v>
      </c>
      <c r="I83" s="349"/>
      <c r="J83" s="153"/>
      <c r="K83" s="365"/>
    </row>
    <row r="84" spans="1:11" ht="11.85" customHeight="1">
      <c r="A84" s="115">
        <v>9</v>
      </c>
      <c r="B84" s="402"/>
      <c r="C84" s="108">
        <v>5</v>
      </c>
      <c r="D84" s="383" t="str">
        <f>AwayTeam!$F$15</f>
        <v>Emila Kingston</v>
      </c>
      <c r="E84" s="351"/>
      <c r="F84" s="109">
        <v>22.89</v>
      </c>
      <c r="G84" s="208">
        <v>6</v>
      </c>
      <c r="H84" s="166" t="str">
        <f t="shared" si="4"/>
        <v/>
      </c>
      <c r="I84" s="349"/>
      <c r="J84" s="153"/>
      <c r="K84" s="365"/>
    </row>
    <row r="85" spans="1:11" ht="11.85" customHeight="1" thickBot="1">
      <c r="A85" s="115" t="s">
        <v>11</v>
      </c>
      <c r="B85" s="403"/>
      <c r="C85" s="108">
        <v>7</v>
      </c>
      <c r="D85" s="386" t="str">
        <f>AwayTeam!$G$15</f>
        <v>Clea Moore</v>
      </c>
      <c r="E85" s="387"/>
      <c r="F85" s="109">
        <v>24.27</v>
      </c>
      <c r="G85" s="208">
        <v>7</v>
      </c>
      <c r="H85" s="166" t="str">
        <f t="shared" si="4"/>
        <v/>
      </c>
      <c r="I85" s="350"/>
      <c r="J85" s="154"/>
      <c r="K85" s="366"/>
    </row>
    <row r="86" spans="1:11" ht="11.85" customHeight="1" thickBot="1">
      <c r="A86" s="115" t="s">
        <v>8</v>
      </c>
      <c r="B86" s="404" t="str">
        <f>HomeTeam!$D$2</f>
        <v>Lisburn</v>
      </c>
      <c r="C86" s="108">
        <v>2</v>
      </c>
      <c r="D86" s="351">
        <f>HomeTeam!$D$15</f>
        <v>0</v>
      </c>
      <c r="E86" s="352"/>
      <c r="F86" s="109">
        <v>21.35</v>
      </c>
      <c r="G86" s="208">
        <v>5</v>
      </c>
      <c r="H86" s="166" t="str">
        <f t="shared" si="4"/>
        <v/>
      </c>
      <c r="I86" s="364"/>
      <c r="J86" s="105"/>
      <c r="K86" s="412">
        <v>6</v>
      </c>
    </row>
    <row r="87" spans="1:11" ht="11.85" customHeight="1" thickBot="1">
      <c r="A87" s="115"/>
      <c r="B87" s="402"/>
      <c r="C87" s="108">
        <v>4</v>
      </c>
      <c r="D87" s="351">
        <f>HomeTeam!$E$15</f>
        <v>0</v>
      </c>
      <c r="E87" s="352"/>
      <c r="F87" s="109">
        <v>19.63</v>
      </c>
      <c r="G87" s="208">
        <v>1</v>
      </c>
      <c r="H87" s="166">
        <f t="shared" si="4"/>
        <v>4</v>
      </c>
      <c r="I87" s="365"/>
      <c r="J87" s="105"/>
      <c r="K87" s="413"/>
    </row>
    <row r="88" spans="1:11" ht="11.85" customHeight="1" thickBot="1">
      <c r="A88" s="115"/>
      <c r="B88" s="402"/>
      <c r="C88" s="108">
        <v>6</v>
      </c>
      <c r="D88" s="351">
        <f>HomeTeam!$F$15</f>
        <v>0</v>
      </c>
      <c r="E88" s="352"/>
      <c r="F88" s="109">
        <v>20.77</v>
      </c>
      <c r="G88" s="208">
        <v>3</v>
      </c>
      <c r="H88" s="166">
        <f t="shared" si="4"/>
        <v>2</v>
      </c>
      <c r="I88" s="365"/>
      <c r="J88" s="105"/>
      <c r="K88" s="413"/>
    </row>
    <row r="89" spans="1:11" ht="11.85" customHeight="1" thickBot="1">
      <c r="A89" s="117"/>
      <c r="B89" s="405"/>
      <c r="C89" s="113">
        <v>8</v>
      </c>
      <c r="D89" s="355">
        <f>HomeTeam!$G$15</f>
        <v>0</v>
      </c>
      <c r="E89" s="356"/>
      <c r="F89" s="114">
        <v>21.01</v>
      </c>
      <c r="G89" s="209">
        <v>8</v>
      </c>
      <c r="H89" s="167" t="str">
        <f t="shared" si="4"/>
        <v/>
      </c>
      <c r="I89" s="366"/>
      <c r="J89" s="105"/>
      <c r="K89" s="414"/>
    </row>
    <row r="90" spans="1:11" ht="11.85" customHeight="1">
      <c r="A90" s="115"/>
      <c r="B90" s="401" t="str">
        <f>AwayTeam!$D$2</f>
        <v>Limavady</v>
      </c>
      <c r="C90" s="103">
        <v>1</v>
      </c>
      <c r="D90" s="384" t="str">
        <f>AwayTeam!$K$15</f>
        <v>Oliver Smith</v>
      </c>
      <c r="E90" s="385"/>
      <c r="F90" s="116">
        <v>21.01</v>
      </c>
      <c r="G90" s="207">
        <v>4</v>
      </c>
      <c r="H90" s="168">
        <f>IF(OR(G90="",G90=5,G90=6, G90=7, G90=8),"",IF(G90=4,1,IF(G90=3,2,IF(G90=2,3,4))))</f>
        <v>1</v>
      </c>
      <c r="I90" s="348">
        <v>4</v>
      </c>
      <c r="J90" s="152"/>
      <c r="K90" s="364"/>
    </row>
    <row r="91" spans="1:11" ht="11.85" customHeight="1">
      <c r="A91" s="115"/>
      <c r="B91" s="402"/>
      <c r="C91" s="108">
        <v>3</v>
      </c>
      <c r="D91" s="383" t="str">
        <f>AwayTeam!$L$15</f>
        <v>Cailean Gallagher</v>
      </c>
      <c r="E91" s="351"/>
      <c r="F91" s="109">
        <v>18.760000000000002</v>
      </c>
      <c r="G91" s="208">
        <v>2</v>
      </c>
      <c r="H91" s="166">
        <f t="shared" ref="H91:H97" si="5">IF(OR(G91="",G91=5,G91=6, G91=7, G91=8),"",IF(G91=4,1,IF(G91=3,2,IF(G91=2,3,4))))</f>
        <v>3</v>
      </c>
      <c r="I91" s="349"/>
      <c r="J91" s="153"/>
      <c r="K91" s="365"/>
    </row>
    <row r="92" spans="1:11" ht="11.85" customHeight="1">
      <c r="A92" s="115">
        <v>10</v>
      </c>
      <c r="B92" s="402"/>
      <c r="C92" s="108">
        <v>5</v>
      </c>
      <c r="D92" s="383" t="str">
        <f>AwayTeam!$M$15</f>
        <v>Alexander Blaha</v>
      </c>
      <c r="E92" s="351"/>
      <c r="F92" s="109">
        <v>24.49</v>
      </c>
      <c r="G92" s="208">
        <v>6</v>
      </c>
      <c r="H92" s="166" t="str">
        <f t="shared" si="5"/>
        <v/>
      </c>
      <c r="I92" s="349"/>
      <c r="J92" s="153"/>
      <c r="K92" s="365"/>
    </row>
    <row r="93" spans="1:11" ht="11.85" customHeight="1" thickBot="1">
      <c r="A93" s="115" t="s">
        <v>11</v>
      </c>
      <c r="B93" s="403"/>
      <c r="C93" s="108">
        <v>7</v>
      </c>
      <c r="D93" s="386" t="str">
        <f>AwayTeam!$N$15</f>
        <v>Tom Mc Shane</v>
      </c>
      <c r="E93" s="387"/>
      <c r="F93" s="109">
        <v>23.2</v>
      </c>
      <c r="G93" s="208">
        <v>8</v>
      </c>
      <c r="H93" s="166" t="str">
        <f t="shared" si="5"/>
        <v/>
      </c>
      <c r="I93" s="350"/>
      <c r="J93" s="154"/>
      <c r="K93" s="366"/>
    </row>
    <row r="94" spans="1:11" ht="11.85" customHeight="1" thickBot="1">
      <c r="A94" s="115" t="s">
        <v>9</v>
      </c>
      <c r="B94" s="404" t="str">
        <f>HomeTeam!$D$2</f>
        <v>Lisburn</v>
      </c>
      <c r="C94" s="108">
        <v>2</v>
      </c>
      <c r="D94" s="351">
        <f>HomeTeam!$K$15</f>
        <v>0</v>
      </c>
      <c r="E94" s="352"/>
      <c r="F94" s="109">
        <v>21.3</v>
      </c>
      <c r="G94" s="208">
        <v>7</v>
      </c>
      <c r="H94" s="166" t="str">
        <f t="shared" si="5"/>
        <v/>
      </c>
      <c r="I94" s="364"/>
      <c r="J94" s="105"/>
      <c r="K94" s="412">
        <v>6</v>
      </c>
    </row>
    <row r="95" spans="1:11" ht="11.85" customHeight="1" thickBot="1">
      <c r="A95" s="115"/>
      <c r="B95" s="402"/>
      <c r="C95" s="108">
        <v>4</v>
      </c>
      <c r="D95" s="351">
        <f>HomeTeam!$L$15</f>
        <v>0</v>
      </c>
      <c r="E95" s="352"/>
      <c r="F95" s="109">
        <v>17.46</v>
      </c>
      <c r="G95" s="208">
        <v>1</v>
      </c>
      <c r="H95" s="166">
        <f t="shared" si="5"/>
        <v>4</v>
      </c>
      <c r="I95" s="365"/>
      <c r="J95" s="105"/>
      <c r="K95" s="413"/>
    </row>
    <row r="96" spans="1:11" ht="11.85" customHeight="1" thickBot="1">
      <c r="A96" s="115"/>
      <c r="B96" s="402"/>
      <c r="C96" s="108">
        <v>6</v>
      </c>
      <c r="D96" s="351">
        <f>HomeTeam!$M$15</f>
        <v>0</v>
      </c>
      <c r="E96" s="352"/>
      <c r="F96" s="109">
        <v>20.6</v>
      </c>
      <c r="G96" s="208">
        <v>3</v>
      </c>
      <c r="H96" s="166">
        <f t="shared" si="5"/>
        <v>2</v>
      </c>
      <c r="I96" s="365"/>
      <c r="J96" s="105"/>
      <c r="K96" s="413"/>
    </row>
    <row r="97" spans="1:11" ht="11.85" customHeight="1" thickBot="1">
      <c r="A97" s="117"/>
      <c r="B97" s="405"/>
      <c r="C97" s="113">
        <v>8</v>
      </c>
      <c r="D97" s="355">
        <f>HomeTeam!$N$15</f>
        <v>0</v>
      </c>
      <c r="E97" s="356"/>
      <c r="F97" s="114">
        <v>18.559999999999999</v>
      </c>
      <c r="G97" s="209">
        <v>5</v>
      </c>
      <c r="H97" s="167" t="str">
        <f t="shared" si="5"/>
        <v/>
      </c>
      <c r="I97" s="366"/>
      <c r="J97" s="105"/>
      <c r="K97" s="414"/>
    </row>
    <row r="98" spans="1:11" ht="11.85" customHeight="1">
      <c r="A98" s="115"/>
      <c r="B98" s="401" t="str">
        <f>AwayTeam!$D$2</f>
        <v>Limavady</v>
      </c>
      <c r="C98" s="103">
        <v>1</v>
      </c>
      <c r="D98" s="384" t="str">
        <f>AwayTeam!$D$16</f>
        <v>Abbi Craig</v>
      </c>
      <c r="E98" s="385"/>
      <c r="F98" s="116">
        <v>19.8</v>
      </c>
      <c r="G98" s="207">
        <v>7</v>
      </c>
      <c r="H98" s="168" t="str">
        <f>IF(OR(G98="",G98=5,G98=6, G98=7, G98=8),"",IF(G98=4,1,IF(G98=3,2,IF(G98=2,3,4))))</f>
        <v/>
      </c>
      <c r="I98" s="348">
        <v>3</v>
      </c>
      <c r="J98" s="152"/>
      <c r="K98" s="364"/>
    </row>
    <row r="99" spans="1:11" ht="11.85" customHeight="1">
      <c r="A99" s="115"/>
      <c r="B99" s="402"/>
      <c r="C99" s="108">
        <v>3</v>
      </c>
      <c r="D99" s="383" t="str">
        <f>AwayTeam!$E$16</f>
        <v>Emily Butcher</v>
      </c>
      <c r="E99" s="351"/>
      <c r="F99" s="109">
        <v>19.66</v>
      </c>
      <c r="G99" s="208">
        <v>3</v>
      </c>
      <c r="H99" s="166">
        <f t="shared" ref="H99:H105" si="6">IF(OR(G99="",G99=5,G99=6, G99=7, G99=8),"",IF(G99=4,1,IF(G99=3,2,IF(G99=2,3,4))))</f>
        <v>2</v>
      </c>
      <c r="I99" s="349"/>
      <c r="J99" s="153"/>
      <c r="K99" s="365"/>
    </row>
    <row r="100" spans="1:11" ht="11.85" customHeight="1">
      <c r="A100" s="115">
        <v>11</v>
      </c>
      <c r="B100" s="402"/>
      <c r="C100" s="108">
        <v>5</v>
      </c>
      <c r="D100" s="383" t="str">
        <f>AwayTeam!$F$16</f>
        <v>Erin Callaghan</v>
      </c>
      <c r="E100" s="351"/>
      <c r="F100" s="109">
        <v>19.54</v>
      </c>
      <c r="G100" s="208">
        <v>4</v>
      </c>
      <c r="H100" s="166">
        <f t="shared" si="6"/>
        <v>1</v>
      </c>
      <c r="I100" s="349"/>
      <c r="J100" s="153"/>
      <c r="K100" s="365"/>
    </row>
    <row r="101" spans="1:11" ht="11.85" customHeight="1" thickBot="1">
      <c r="A101" s="115" t="s">
        <v>12</v>
      </c>
      <c r="B101" s="403"/>
      <c r="C101" s="108">
        <v>7</v>
      </c>
      <c r="D101" s="386" t="str">
        <f>AwayTeam!$G$16</f>
        <v>Niamh Mc Henry</v>
      </c>
      <c r="E101" s="387"/>
      <c r="F101" s="109">
        <v>21.46</v>
      </c>
      <c r="G101" s="208">
        <v>8</v>
      </c>
      <c r="H101" s="166" t="str">
        <f t="shared" si="6"/>
        <v/>
      </c>
      <c r="I101" s="350"/>
      <c r="J101" s="154"/>
      <c r="K101" s="366"/>
    </row>
    <row r="102" spans="1:11" ht="11.85" customHeight="1" thickBot="1">
      <c r="A102" s="115" t="s">
        <v>8</v>
      </c>
      <c r="B102" s="404" t="str">
        <f>HomeTeam!$D$2</f>
        <v>Lisburn</v>
      </c>
      <c r="C102" s="108">
        <v>2</v>
      </c>
      <c r="D102" s="351">
        <f>HomeTeam!$D$16</f>
        <v>0</v>
      </c>
      <c r="E102" s="352"/>
      <c r="F102" s="109">
        <v>18.95</v>
      </c>
      <c r="G102" s="208">
        <v>6</v>
      </c>
      <c r="H102" s="166" t="str">
        <f t="shared" si="6"/>
        <v/>
      </c>
      <c r="I102" s="364"/>
      <c r="J102" s="105"/>
      <c r="K102" s="412">
        <v>7</v>
      </c>
    </row>
    <row r="103" spans="1:11" ht="11.85" customHeight="1" thickBot="1">
      <c r="A103" s="115"/>
      <c r="B103" s="402"/>
      <c r="C103" s="108">
        <v>4</v>
      </c>
      <c r="D103" s="351">
        <f>HomeTeam!$E$16</f>
        <v>0</v>
      </c>
      <c r="E103" s="352"/>
      <c r="F103" s="109">
        <v>17.73</v>
      </c>
      <c r="G103" s="208">
        <v>1</v>
      </c>
      <c r="H103" s="166">
        <f t="shared" si="6"/>
        <v>4</v>
      </c>
      <c r="I103" s="365"/>
      <c r="J103" s="105"/>
      <c r="K103" s="413"/>
    </row>
    <row r="104" spans="1:11" ht="11.85" customHeight="1" thickBot="1">
      <c r="A104" s="115"/>
      <c r="B104" s="402"/>
      <c r="C104" s="108">
        <v>6</v>
      </c>
      <c r="D104" s="351">
        <f>HomeTeam!$F$16</f>
        <v>0</v>
      </c>
      <c r="E104" s="352"/>
      <c r="F104" s="109">
        <v>18.260000000000002</v>
      </c>
      <c r="G104" s="208">
        <v>2</v>
      </c>
      <c r="H104" s="166">
        <f t="shared" si="6"/>
        <v>3</v>
      </c>
      <c r="I104" s="365"/>
      <c r="J104" s="105"/>
      <c r="K104" s="413"/>
    </row>
    <row r="105" spans="1:11" ht="11.85" customHeight="1" thickBot="1">
      <c r="A105" s="117"/>
      <c r="B105" s="405"/>
      <c r="C105" s="113">
        <v>8</v>
      </c>
      <c r="D105" s="355">
        <f>HomeTeam!$G$16</f>
        <v>0</v>
      </c>
      <c r="E105" s="356"/>
      <c r="F105" s="114">
        <v>21</v>
      </c>
      <c r="G105" s="209">
        <v>5</v>
      </c>
      <c r="H105" s="167" t="str">
        <f t="shared" si="6"/>
        <v/>
      </c>
      <c r="I105" s="366"/>
      <c r="J105" s="105"/>
      <c r="K105" s="414"/>
    </row>
    <row r="106" spans="1:11" ht="11.85" customHeight="1">
      <c r="A106" s="115"/>
      <c r="B106" s="401" t="str">
        <f>AwayTeam!$D$2</f>
        <v>Limavady</v>
      </c>
      <c r="C106" s="103">
        <v>1</v>
      </c>
      <c r="D106" s="379" t="str">
        <f>AwayTeam!$K$16</f>
        <v>Alex Whiteside</v>
      </c>
      <c r="E106" s="380"/>
      <c r="F106" s="116">
        <v>19.38</v>
      </c>
      <c r="G106" s="207">
        <v>4</v>
      </c>
      <c r="H106" s="168">
        <f>IF(OR(G106="",G106=5,G106=6, G106=7, G106=8),"",IF(G106=4,1,IF(G106=3,2,IF(G106=2,3,4))))</f>
        <v>1</v>
      </c>
      <c r="I106" s="348">
        <v>4</v>
      </c>
      <c r="J106" s="152"/>
      <c r="K106" s="364"/>
    </row>
    <row r="107" spans="1:11" ht="11.85" customHeight="1">
      <c r="A107" s="115"/>
      <c r="B107" s="402"/>
      <c r="C107" s="103">
        <v>3</v>
      </c>
      <c r="D107" s="351" t="str">
        <f>AwayTeam!$L$16</f>
        <v>Ben Dinsmore</v>
      </c>
      <c r="E107" s="352"/>
      <c r="F107" s="116">
        <v>20.010000000000002</v>
      </c>
      <c r="G107" s="210">
        <v>2</v>
      </c>
      <c r="H107" s="166">
        <f t="shared" ref="H107:H113" si="7">IF(OR(G107="",G107=5,G107=6, G107=7, G107=8),"",IF(G107=4,1,IF(G107=3,2,IF(G107=2,3,4))))</f>
        <v>3</v>
      </c>
      <c r="I107" s="349"/>
      <c r="J107" s="153"/>
      <c r="K107" s="365"/>
    </row>
    <row r="108" spans="1:11" ht="11.85" customHeight="1">
      <c r="A108" s="115">
        <v>12</v>
      </c>
      <c r="B108" s="402"/>
      <c r="C108" s="108">
        <v>5</v>
      </c>
      <c r="D108" s="351" t="str">
        <f>AwayTeam!$M$16</f>
        <v>Jude Williams</v>
      </c>
      <c r="E108" s="352"/>
      <c r="F108" s="109">
        <v>23.7</v>
      </c>
      <c r="G108" s="208">
        <v>8</v>
      </c>
      <c r="H108" s="166" t="str">
        <f t="shared" si="7"/>
        <v/>
      </c>
      <c r="I108" s="349"/>
      <c r="J108" s="153"/>
      <c r="K108" s="365"/>
    </row>
    <row r="109" spans="1:11" ht="11.85" customHeight="1" thickBot="1">
      <c r="A109" s="115" t="s">
        <v>12</v>
      </c>
      <c r="B109" s="403"/>
      <c r="C109" s="108">
        <v>7</v>
      </c>
      <c r="D109" s="351" t="str">
        <f>AwayTeam!$N$16</f>
        <v>Joshua Hunt</v>
      </c>
      <c r="E109" s="352"/>
      <c r="F109" s="109">
        <v>21.36</v>
      </c>
      <c r="G109" s="208">
        <v>7</v>
      </c>
      <c r="H109" s="166" t="str">
        <f t="shared" si="7"/>
        <v/>
      </c>
      <c r="I109" s="350"/>
      <c r="J109" s="154"/>
      <c r="K109" s="366"/>
    </row>
    <row r="110" spans="1:11" ht="11.85" customHeight="1" thickBot="1">
      <c r="A110" s="115" t="s">
        <v>9</v>
      </c>
      <c r="B110" s="404" t="str">
        <f>HomeTeam!$D$2</f>
        <v>Lisburn</v>
      </c>
      <c r="C110" s="108">
        <v>2</v>
      </c>
      <c r="D110" s="351">
        <f>HomeTeam!$K$16</f>
        <v>0</v>
      </c>
      <c r="E110" s="352"/>
      <c r="F110" s="109">
        <v>19.63</v>
      </c>
      <c r="G110" s="208">
        <v>3</v>
      </c>
      <c r="H110" s="166">
        <f t="shared" si="7"/>
        <v>2</v>
      </c>
      <c r="I110" s="364"/>
      <c r="J110" s="105"/>
      <c r="K110" s="412">
        <v>6</v>
      </c>
    </row>
    <row r="111" spans="1:11" ht="11.85" customHeight="1" thickBot="1">
      <c r="A111" s="115"/>
      <c r="B111" s="402"/>
      <c r="C111" s="108">
        <v>4</v>
      </c>
      <c r="D111" s="351">
        <f>HomeTeam!$L$16</f>
        <v>0</v>
      </c>
      <c r="E111" s="352"/>
      <c r="F111" s="109">
        <v>17.64</v>
      </c>
      <c r="G111" s="208">
        <v>1</v>
      </c>
      <c r="H111" s="166">
        <f t="shared" si="7"/>
        <v>4</v>
      </c>
      <c r="I111" s="365"/>
      <c r="J111" s="105"/>
      <c r="K111" s="413"/>
    </row>
    <row r="112" spans="1:11" ht="11.85" customHeight="1" thickBot="1">
      <c r="A112" s="115"/>
      <c r="B112" s="402"/>
      <c r="C112" s="108">
        <v>6</v>
      </c>
      <c r="D112" s="351">
        <f>HomeTeam!$M$16</f>
        <v>0</v>
      </c>
      <c r="E112" s="352"/>
      <c r="F112" s="109">
        <v>19.63</v>
      </c>
      <c r="G112" s="208">
        <v>5</v>
      </c>
      <c r="H112" s="166" t="str">
        <f t="shared" si="7"/>
        <v/>
      </c>
      <c r="I112" s="365"/>
      <c r="J112" s="105"/>
      <c r="K112" s="413"/>
    </row>
    <row r="113" spans="1:11" ht="11.85" customHeight="1" thickBot="1">
      <c r="A113" s="117"/>
      <c r="B113" s="405"/>
      <c r="C113" s="113">
        <v>8</v>
      </c>
      <c r="D113" s="355">
        <f>HomeTeam!$N$16</f>
        <v>0</v>
      </c>
      <c r="E113" s="356"/>
      <c r="F113" s="114">
        <v>19.149999999999999</v>
      </c>
      <c r="G113" s="209">
        <v>6</v>
      </c>
      <c r="H113" s="167" t="str">
        <f t="shared" si="7"/>
        <v/>
      </c>
      <c r="I113" s="366"/>
      <c r="J113" s="105"/>
      <c r="K113" s="414"/>
    </row>
    <row r="114" spans="1:11" ht="11.85" customHeight="1">
      <c r="A114" s="118"/>
      <c r="B114" s="119"/>
      <c r="C114" s="119"/>
      <c r="D114" s="120"/>
      <c r="E114" s="120"/>
      <c r="F114" s="169"/>
      <c r="G114" s="121" t="s">
        <v>13</v>
      </c>
      <c r="H114" s="170"/>
      <c r="I114" s="122">
        <f>SUM(I50,I58,I66,I74,I82,I90,I98,I106)</f>
        <v>35</v>
      </c>
      <c r="J114" s="121"/>
      <c r="K114" s="105">
        <f>SUM(K54,K62,K70,K78,K86,K94,K102,K110)</f>
        <v>45</v>
      </c>
    </row>
    <row r="115" spans="1:11" ht="11.85" customHeight="1">
      <c r="A115" s="118"/>
      <c r="B115" s="119"/>
      <c r="C115" s="119"/>
      <c r="D115" s="120"/>
      <c r="E115" s="120"/>
      <c r="F115" s="119"/>
      <c r="G115" s="119" t="s">
        <v>14</v>
      </c>
      <c r="H115" s="119"/>
      <c r="I115" s="123">
        <f>I43</f>
        <v>16</v>
      </c>
      <c r="J115" s="124"/>
      <c r="K115" s="133">
        <f>K43</f>
        <v>24</v>
      </c>
    </row>
    <row r="116" spans="1:11" ht="11.85" customHeight="1" thickBot="1">
      <c r="A116" s="125"/>
      <c r="B116" s="126"/>
      <c r="C116" s="126"/>
      <c r="D116" s="127"/>
      <c r="E116" s="127"/>
      <c r="F116" s="126"/>
      <c r="G116" s="126" t="s">
        <v>18</v>
      </c>
      <c r="H116" s="126"/>
      <c r="I116" s="128">
        <f>SUM(I114:I115)</f>
        <v>51</v>
      </c>
      <c r="J116" s="126"/>
      <c r="K116" s="134">
        <f>SUM(K114:K115)</f>
        <v>69</v>
      </c>
    </row>
    <row r="117" spans="1:11" ht="6.75" customHeight="1"/>
    <row r="118" spans="1:11" s="61" customFormat="1">
      <c r="A118" s="411" t="s">
        <v>55</v>
      </c>
      <c r="B118" s="411"/>
      <c r="C118" s="411"/>
      <c r="D118" s="411"/>
      <c r="E118" s="411"/>
      <c r="F118" s="411"/>
      <c r="G118" s="411"/>
      <c r="H118" s="411"/>
      <c r="I118" s="411"/>
      <c r="J118" s="411"/>
      <c r="K118" s="411"/>
    </row>
    <row r="119" spans="1:11" ht="3.75" customHeight="1" thickBot="1"/>
    <row r="120" spans="1:11" ht="11.85" customHeight="1" thickBot="1">
      <c r="A120" s="100" t="s">
        <v>0</v>
      </c>
      <c r="B120" s="101" t="s">
        <v>1</v>
      </c>
      <c r="C120" s="101" t="s">
        <v>2</v>
      </c>
      <c r="D120" s="353" t="s">
        <v>3</v>
      </c>
      <c r="E120" s="354"/>
      <c r="F120" s="206" t="s">
        <v>4</v>
      </c>
      <c r="G120" s="215" t="s">
        <v>5</v>
      </c>
      <c r="H120" s="206" t="s">
        <v>6</v>
      </c>
      <c r="I120" s="398" t="s">
        <v>6</v>
      </c>
      <c r="J120" s="399"/>
      <c r="K120" s="400"/>
    </row>
    <row r="121" spans="1:11" ht="11.85" customHeight="1">
      <c r="A121" s="102"/>
      <c r="B121" s="401" t="str">
        <f>AwayTeam!$D$2</f>
        <v>Limavady</v>
      </c>
      <c r="C121" s="103">
        <v>1</v>
      </c>
      <c r="D121" s="379" t="str">
        <f>AwayTeam!$D$17</f>
        <v>Fiona O Neill</v>
      </c>
      <c r="E121" s="380"/>
      <c r="F121" s="211">
        <v>27.23</v>
      </c>
      <c r="G121" s="207">
        <v>3</v>
      </c>
      <c r="H121" s="168">
        <f>IF(OR(G121="",G121=5,G121=6, G121=7, G121=8),"",IF(G121=4,1,IF(G121=3,2,IF(G121=2,3,4))))</f>
        <v>2</v>
      </c>
      <c r="I121" s="348">
        <v>6</v>
      </c>
      <c r="J121" s="152"/>
      <c r="K121" s="364"/>
    </row>
    <row r="122" spans="1:11" ht="11.85" customHeight="1">
      <c r="A122" s="107"/>
      <c r="B122" s="402"/>
      <c r="C122" s="108">
        <v>3</v>
      </c>
      <c r="D122" s="351" t="str">
        <f>AwayTeam!$E$17</f>
        <v>Miya Mc Clamont</v>
      </c>
      <c r="E122" s="352"/>
      <c r="F122" s="212">
        <v>25.23</v>
      </c>
      <c r="G122" s="208">
        <v>1</v>
      </c>
      <c r="H122" s="166">
        <f t="shared" ref="H122:H128" si="8">IF(OR(G122="",G122=5,G122=6, G122=7, G122=8),"",IF(G122=4,1,IF(G122=3,2,IF(G122=2,3,4))))</f>
        <v>4</v>
      </c>
      <c r="I122" s="349"/>
      <c r="J122" s="153"/>
      <c r="K122" s="365"/>
    </row>
    <row r="123" spans="1:11" ht="11.85" customHeight="1">
      <c r="A123" s="107">
        <v>13</v>
      </c>
      <c r="B123" s="402"/>
      <c r="C123" s="108">
        <v>5</v>
      </c>
      <c r="D123" s="351" t="s">
        <v>196</v>
      </c>
      <c r="E123" s="352"/>
      <c r="F123" s="212">
        <v>36.78</v>
      </c>
      <c r="G123" s="208">
        <v>7</v>
      </c>
      <c r="H123" s="166" t="str">
        <f t="shared" si="8"/>
        <v/>
      </c>
      <c r="I123" s="349"/>
      <c r="J123" s="153"/>
      <c r="K123" s="365"/>
    </row>
    <row r="124" spans="1:11" ht="11.85" customHeight="1" thickBot="1">
      <c r="A124" s="107" t="s">
        <v>7</v>
      </c>
      <c r="B124" s="403"/>
      <c r="C124" s="108">
        <v>7</v>
      </c>
      <c r="D124" s="351" t="str">
        <f>AwayTeam!$G$17</f>
        <v>Grace Gallagher</v>
      </c>
      <c r="E124" s="352"/>
      <c r="F124" s="212">
        <v>28.26</v>
      </c>
      <c r="G124" s="208">
        <v>5</v>
      </c>
      <c r="H124" s="166" t="str">
        <f t="shared" si="8"/>
        <v/>
      </c>
      <c r="I124" s="350"/>
      <c r="J124" s="154"/>
      <c r="K124" s="366"/>
    </row>
    <row r="125" spans="1:11" ht="11.85" customHeight="1" thickBot="1">
      <c r="A125" s="107" t="s">
        <v>8</v>
      </c>
      <c r="B125" s="402" t="str">
        <f>HomeTeam!$D$2</f>
        <v>Lisburn</v>
      </c>
      <c r="C125" s="108">
        <v>2</v>
      </c>
      <c r="D125" s="351">
        <f>HomeTeam!$D$17</f>
        <v>0</v>
      </c>
      <c r="E125" s="352"/>
      <c r="F125" s="212">
        <v>31.55</v>
      </c>
      <c r="G125" s="208">
        <v>4</v>
      </c>
      <c r="H125" s="166">
        <f t="shared" si="8"/>
        <v>1</v>
      </c>
      <c r="I125" s="364"/>
      <c r="J125" s="105"/>
      <c r="K125" s="412">
        <v>4</v>
      </c>
    </row>
    <row r="126" spans="1:11" ht="11.85" customHeight="1" thickBot="1">
      <c r="A126" s="107"/>
      <c r="B126" s="402"/>
      <c r="C126" s="108">
        <v>4</v>
      </c>
      <c r="D126" s="351">
        <f>HomeTeam!$E$17</f>
        <v>0</v>
      </c>
      <c r="E126" s="352"/>
      <c r="F126" s="212">
        <v>25.63</v>
      </c>
      <c r="G126" s="208">
        <v>2</v>
      </c>
      <c r="H126" s="166">
        <f t="shared" si="8"/>
        <v>3</v>
      </c>
      <c r="I126" s="365"/>
      <c r="J126" s="105"/>
      <c r="K126" s="413"/>
    </row>
    <row r="127" spans="1:11" ht="11.85" customHeight="1" thickBot="1">
      <c r="A127" s="107"/>
      <c r="B127" s="402"/>
      <c r="C127" s="108">
        <v>6</v>
      </c>
      <c r="D127" s="351">
        <f>HomeTeam!$F$17</f>
        <v>0</v>
      </c>
      <c r="E127" s="352"/>
      <c r="F127" s="212">
        <v>38.78</v>
      </c>
      <c r="G127" s="208">
        <v>8</v>
      </c>
      <c r="H127" s="166" t="str">
        <f t="shared" si="8"/>
        <v/>
      </c>
      <c r="I127" s="365"/>
      <c r="J127" s="105"/>
      <c r="K127" s="413"/>
    </row>
    <row r="128" spans="1:11" ht="11.85" customHeight="1" thickBot="1">
      <c r="A128" s="112"/>
      <c r="B128" s="405"/>
      <c r="C128" s="113">
        <v>8</v>
      </c>
      <c r="D128" s="355">
        <f>HomeTeam!$G$17</f>
        <v>0</v>
      </c>
      <c r="E128" s="356"/>
      <c r="F128" s="213">
        <v>31.3</v>
      </c>
      <c r="G128" s="209">
        <v>6</v>
      </c>
      <c r="H128" s="167" t="str">
        <f t="shared" si="8"/>
        <v/>
      </c>
      <c r="I128" s="366"/>
      <c r="J128" s="105"/>
      <c r="K128" s="414"/>
    </row>
    <row r="129" spans="1:11" ht="11.85" customHeight="1">
      <c r="A129" s="115"/>
      <c r="B129" s="401" t="str">
        <f>AwayTeam!$D$2</f>
        <v>Limavady</v>
      </c>
      <c r="C129" s="103">
        <v>1</v>
      </c>
      <c r="D129" s="379" t="str">
        <f>AwayTeam!$K$17</f>
        <v>Jack Mc Gookin</v>
      </c>
      <c r="E129" s="380"/>
      <c r="F129" s="214">
        <v>28.92</v>
      </c>
      <c r="G129" s="210">
        <v>4</v>
      </c>
      <c r="H129" s="168">
        <f>IF(OR(G129="",G129=5,G129=6, G129=7, G129=8),"",IF(G129=4,1,IF(G129=3,2,IF(G129=2,3,4))))</f>
        <v>1</v>
      </c>
      <c r="I129" s="348">
        <v>3</v>
      </c>
      <c r="J129" s="152"/>
      <c r="K129" s="364"/>
    </row>
    <row r="130" spans="1:11" ht="11.85" customHeight="1">
      <c r="A130" s="115"/>
      <c r="B130" s="402"/>
      <c r="C130" s="108">
        <v>3</v>
      </c>
      <c r="D130" s="351" t="str">
        <f>AwayTeam!$L$17</f>
        <v>Henry Connell</v>
      </c>
      <c r="E130" s="352"/>
      <c r="F130" s="212">
        <v>26.84</v>
      </c>
      <c r="G130" s="208">
        <v>3</v>
      </c>
      <c r="H130" s="166">
        <f t="shared" ref="H130:H136" si="9">IF(OR(G130="",G130=5,G130=6, G130=7, G130=8),"",IF(G130=4,1,IF(G130=3,2,IF(G130=2,3,4))))</f>
        <v>2</v>
      </c>
      <c r="I130" s="349"/>
      <c r="J130" s="153"/>
      <c r="K130" s="365"/>
    </row>
    <row r="131" spans="1:11" ht="11.85" customHeight="1">
      <c r="A131" s="115">
        <v>14</v>
      </c>
      <c r="B131" s="402"/>
      <c r="C131" s="108">
        <v>5</v>
      </c>
      <c r="D131" s="351" t="str">
        <f>AwayTeam!$M$17</f>
        <v>Harry Butcher</v>
      </c>
      <c r="E131" s="352"/>
      <c r="F131" s="212">
        <v>31.61</v>
      </c>
      <c r="G131" s="208">
        <v>6</v>
      </c>
      <c r="H131" s="166" t="str">
        <f t="shared" si="9"/>
        <v/>
      </c>
      <c r="I131" s="349"/>
      <c r="J131" s="153"/>
      <c r="K131" s="365"/>
    </row>
    <row r="132" spans="1:11" ht="11.85" customHeight="1" thickBot="1">
      <c r="A132" s="115" t="s">
        <v>7</v>
      </c>
      <c r="B132" s="403"/>
      <c r="C132" s="108">
        <v>7</v>
      </c>
      <c r="D132" s="351" t="str">
        <f>AwayTeam!$N$17</f>
        <v>Adam Gallagher</v>
      </c>
      <c r="E132" s="352"/>
      <c r="F132" s="212">
        <v>40.229999999999997</v>
      </c>
      <c r="G132" s="208">
        <v>8</v>
      </c>
      <c r="H132" s="166" t="str">
        <f t="shared" si="9"/>
        <v/>
      </c>
      <c r="I132" s="350"/>
      <c r="J132" s="154"/>
      <c r="K132" s="366"/>
    </row>
    <row r="133" spans="1:11" ht="11.85" customHeight="1" thickBot="1">
      <c r="A133" s="115" t="s">
        <v>9</v>
      </c>
      <c r="B133" s="404" t="str">
        <f>HomeTeam!$D$2</f>
        <v>Lisburn</v>
      </c>
      <c r="C133" s="108">
        <v>2</v>
      </c>
      <c r="D133" s="351">
        <f>HomeTeam!$K$17</f>
        <v>0</v>
      </c>
      <c r="E133" s="352"/>
      <c r="F133" s="212">
        <v>33.130000000000003</v>
      </c>
      <c r="G133" s="208">
        <v>7</v>
      </c>
      <c r="H133" s="166" t="str">
        <f t="shared" si="9"/>
        <v/>
      </c>
      <c r="I133" s="364"/>
      <c r="J133" s="105"/>
      <c r="K133" s="412">
        <v>7</v>
      </c>
    </row>
    <row r="134" spans="1:11" ht="11.85" customHeight="1" thickBot="1">
      <c r="A134" s="115"/>
      <c r="B134" s="402"/>
      <c r="C134" s="108">
        <v>4</v>
      </c>
      <c r="D134" s="351">
        <f>HomeTeam!$L$17</f>
        <v>0</v>
      </c>
      <c r="E134" s="352"/>
      <c r="F134" s="212">
        <v>23</v>
      </c>
      <c r="G134" s="208">
        <v>1</v>
      </c>
      <c r="H134" s="166">
        <f t="shared" si="9"/>
        <v>4</v>
      </c>
      <c r="I134" s="365"/>
      <c r="J134" s="105"/>
      <c r="K134" s="413"/>
    </row>
    <row r="135" spans="1:11" ht="11.85" customHeight="1" thickBot="1">
      <c r="A135" s="115"/>
      <c r="B135" s="402"/>
      <c r="C135" s="108">
        <v>6</v>
      </c>
      <c r="D135" s="351">
        <f>HomeTeam!$M$17</f>
        <v>0</v>
      </c>
      <c r="E135" s="352"/>
      <c r="F135" s="212">
        <v>23.61</v>
      </c>
      <c r="G135" s="208">
        <v>2</v>
      </c>
      <c r="H135" s="166">
        <f t="shared" si="9"/>
        <v>3</v>
      </c>
      <c r="I135" s="365"/>
      <c r="J135" s="105"/>
      <c r="K135" s="413"/>
    </row>
    <row r="136" spans="1:11" ht="11.85" customHeight="1" thickBot="1">
      <c r="A136" s="117"/>
      <c r="B136" s="405"/>
      <c r="C136" s="113">
        <v>8</v>
      </c>
      <c r="D136" s="355">
        <f>HomeTeam!$N$17</f>
        <v>0</v>
      </c>
      <c r="E136" s="356"/>
      <c r="F136" s="213">
        <v>29.93</v>
      </c>
      <c r="G136" s="209">
        <v>5</v>
      </c>
      <c r="H136" s="167" t="str">
        <f t="shared" si="9"/>
        <v/>
      </c>
      <c r="I136" s="366"/>
      <c r="J136" s="105"/>
      <c r="K136" s="414"/>
    </row>
    <row r="137" spans="1:11" ht="11.85" customHeight="1">
      <c r="A137" s="115"/>
      <c r="B137" s="401" t="str">
        <f>AwayTeam!$D$2</f>
        <v>Limavady</v>
      </c>
      <c r="C137" s="103">
        <v>1</v>
      </c>
      <c r="D137" s="379" t="str">
        <f>AwayTeam!$D$18</f>
        <v>Eva Campbell</v>
      </c>
      <c r="E137" s="380"/>
      <c r="F137" s="214">
        <v>27.53</v>
      </c>
      <c r="G137" s="207">
        <v>6</v>
      </c>
      <c r="H137" s="168" t="str">
        <f>IF(OR(G137="",G137=5,G137=6, G137=7, G137=8),"",IF(G137=4,1,IF(G137=3,2,IF(G137=2,3,4))))</f>
        <v/>
      </c>
      <c r="I137" s="348">
        <v>4</v>
      </c>
      <c r="J137" s="152"/>
      <c r="K137" s="364"/>
    </row>
    <row r="138" spans="1:11" ht="11.85" customHeight="1">
      <c r="A138" s="115"/>
      <c r="B138" s="402"/>
      <c r="C138" s="108">
        <v>3</v>
      </c>
      <c r="D138" s="351" t="str">
        <f>AwayTeam!$E$18</f>
        <v>Alice Cladwell</v>
      </c>
      <c r="E138" s="352"/>
      <c r="F138" s="212">
        <v>22.82</v>
      </c>
      <c r="G138" s="208">
        <v>2</v>
      </c>
      <c r="H138" s="166">
        <f t="shared" ref="H138:H144" si="10">IF(OR(G138="",G138=5,G138=6, G138=7, G138=8),"",IF(G138=4,1,IF(G138=3,2,IF(G138=2,3,4))))</f>
        <v>3</v>
      </c>
      <c r="I138" s="349"/>
      <c r="J138" s="153"/>
      <c r="K138" s="365"/>
    </row>
    <row r="139" spans="1:11" ht="11.85" customHeight="1">
      <c r="A139" s="115">
        <v>15</v>
      </c>
      <c r="B139" s="402"/>
      <c r="C139" s="108">
        <v>5</v>
      </c>
      <c r="D139" s="351" t="s">
        <v>152</v>
      </c>
      <c r="E139" s="352"/>
      <c r="F139" s="212">
        <v>26.84</v>
      </c>
      <c r="G139" s="208">
        <v>4</v>
      </c>
      <c r="H139" s="166">
        <f t="shared" si="10"/>
        <v>1</v>
      </c>
      <c r="I139" s="349"/>
      <c r="J139" s="153"/>
      <c r="K139" s="365"/>
    </row>
    <row r="140" spans="1:11" ht="11.85" customHeight="1" thickBot="1">
      <c r="A140" s="115" t="s">
        <v>10</v>
      </c>
      <c r="B140" s="403"/>
      <c r="C140" s="108">
        <v>7</v>
      </c>
      <c r="D140" s="351" t="str">
        <f>AwayTeam!$G$18</f>
        <v>Sofie Halcrow</v>
      </c>
      <c r="E140" s="352"/>
      <c r="F140" s="212">
        <v>28.26</v>
      </c>
      <c r="G140" s="208">
        <v>7</v>
      </c>
      <c r="H140" s="166" t="str">
        <f t="shared" si="10"/>
        <v/>
      </c>
      <c r="I140" s="350"/>
      <c r="J140" s="154"/>
      <c r="K140" s="366"/>
    </row>
    <row r="141" spans="1:11" ht="11.85" customHeight="1" thickBot="1">
      <c r="A141" s="115" t="s">
        <v>8</v>
      </c>
      <c r="B141" s="404" t="str">
        <f>HomeTeam!$D$2</f>
        <v>Lisburn</v>
      </c>
      <c r="C141" s="108">
        <v>2</v>
      </c>
      <c r="D141" s="351">
        <f>HomeTeam!$D$18</f>
        <v>0</v>
      </c>
      <c r="E141" s="352"/>
      <c r="F141" s="212">
        <v>25.23</v>
      </c>
      <c r="G141" s="208">
        <v>5</v>
      </c>
      <c r="H141" s="166" t="str">
        <f t="shared" si="10"/>
        <v/>
      </c>
      <c r="I141" s="364"/>
      <c r="J141" s="105"/>
      <c r="K141" s="412">
        <v>6</v>
      </c>
    </row>
    <row r="142" spans="1:11" ht="11.85" customHeight="1" thickBot="1">
      <c r="A142" s="115"/>
      <c r="B142" s="402"/>
      <c r="C142" s="108">
        <v>4</v>
      </c>
      <c r="D142" s="351">
        <f>HomeTeam!$E$18</f>
        <v>0</v>
      </c>
      <c r="E142" s="352"/>
      <c r="F142" s="212">
        <v>21.2</v>
      </c>
      <c r="G142" s="208">
        <v>1</v>
      </c>
      <c r="H142" s="166">
        <f t="shared" si="10"/>
        <v>4</v>
      </c>
      <c r="I142" s="365"/>
      <c r="J142" s="105"/>
      <c r="K142" s="413"/>
    </row>
    <row r="143" spans="1:11" ht="11.85" customHeight="1" thickBot="1">
      <c r="A143" s="115"/>
      <c r="B143" s="402"/>
      <c r="C143" s="108">
        <v>6</v>
      </c>
      <c r="D143" s="351">
        <f>HomeTeam!$F$18</f>
        <v>0</v>
      </c>
      <c r="E143" s="352"/>
      <c r="F143" s="212">
        <v>23.12</v>
      </c>
      <c r="G143" s="208">
        <v>3</v>
      </c>
      <c r="H143" s="166">
        <f t="shared" si="10"/>
        <v>2</v>
      </c>
      <c r="I143" s="365"/>
      <c r="J143" s="105"/>
      <c r="K143" s="413"/>
    </row>
    <row r="144" spans="1:11" ht="11.85" customHeight="1" thickBot="1">
      <c r="A144" s="117"/>
      <c r="B144" s="405"/>
      <c r="C144" s="113">
        <v>8</v>
      </c>
      <c r="D144" s="355">
        <f>HomeTeam!$G$18</f>
        <v>0</v>
      </c>
      <c r="E144" s="356"/>
      <c r="F144" s="213">
        <v>32.9</v>
      </c>
      <c r="G144" s="209">
        <v>8</v>
      </c>
      <c r="H144" s="167" t="str">
        <f t="shared" si="10"/>
        <v/>
      </c>
      <c r="I144" s="366"/>
      <c r="J144" s="105"/>
      <c r="K144" s="414"/>
    </row>
    <row r="145" spans="1:11" ht="11.85" customHeight="1">
      <c r="A145" s="115"/>
      <c r="B145" s="401" t="str">
        <f>AwayTeam!$D$2</f>
        <v>Limavady</v>
      </c>
      <c r="C145" s="103">
        <v>1</v>
      </c>
      <c r="D145" s="416" t="str">
        <f>AwayTeam!$K$18</f>
        <v>Kevin Mc Macken</v>
      </c>
      <c r="E145" s="417"/>
      <c r="F145" s="214">
        <v>26.09</v>
      </c>
      <c r="G145" s="207">
        <v>4</v>
      </c>
      <c r="H145" s="168">
        <f>IF(OR(G145="",G145=5,G145=6, G145=7, G145=8),"",IF(G145=4,1,IF(G145=3,2,IF(G145=2,3,4))))</f>
        <v>1</v>
      </c>
      <c r="I145" s="348">
        <v>5</v>
      </c>
      <c r="J145" s="152"/>
      <c r="K145" s="364"/>
    </row>
    <row r="146" spans="1:11" ht="11.85" customHeight="1">
      <c r="A146" s="115"/>
      <c r="B146" s="402"/>
      <c r="C146" s="108">
        <v>3</v>
      </c>
      <c r="D146" s="351" t="str">
        <f>AwayTeam!$L$18</f>
        <v>Sam S H</v>
      </c>
      <c r="E146" s="352"/>
      <c r="F146" s="212">
        <v>24.04</v>
      </c>
      <c r="G146" s="208">
        <v>1</v>
      </c>
      <c r="H146" s="166">
        <f t="shared" ref="H146:H152" si="11">IF(OR(G146="",G146=5,G146=6, G146=7, G146=8),"",IF(G146=4,1,IF(G146=3,2,IF(G146=2,3,4))))</f>
        <v>4</v>
      </c>
      <c r="I146" s="349"/>
      <c r="J146" s="153"/>
      <c r="K146" s="365"/>
    </row>
    <row r="147" spans="1:11" ht="11.85" customHeight="1">
      <c r="A147" s="115">
        <v>16</v>
      </c>
      <c r="B147" s="402"/>
      <c r="C147" s="108">
        <v>5</v>
      </c>
      <c r="D147" s="351" t="str">
        <f>AwayTeam!$M$18</f>
        <v>Otis Irwin</v>
      </c>
      <c r="E147" s="352"/>
      <c r="F147" s="212">
        <v>28</v>
      </c>
      <c r="G147" s="208">
        <v>7</v>
      </c>
      <c r="H147" s="166" t="str">
        <f t="shared" si="11"/>
        <v/>
      </c>
      <c r="I147" s="349"/>
      <c r="J147" s="153"/>
      <c r="K147" s="365"/>
    </row>
    <row r="148" spans="1:11" ht="11.85" customHeight="1" thickBot="1">
      <c r="A148" s="115" t="s">
        <v>10</v>
      </c>
      <c r="B148" s="403"/>
      <c r="C148" s="108">
        <v>7</v>
      </c>
      <c r="D148" s="351" t="str">
        <f>AwayTeam!$N$18</f>
        <v>Toby Dinsmore</v>
      </c>
      <c r="E148" s="352"/>
      <c r="F148" s="212">
        <v>27.5</v>
      </c>
      <c r="G148" s="208">
        <v>8</v>
      </c>
      <c r="H148" s="166" t="str">
        <f t="shared" si="11"/>
        <v/>
      </c>
      <c r="I148" s="350"/>
      <c r="J148" s="154"/>
      <c r="K148" s="366"/>
    </row>
    <row r="149" spans="1:11" ht="11.85" customHeight="1" thickBot="1">
      <c r="A149" s="115" t="s">
        <v>9</v>
      </c>
      <c r="B149" s="404" t="str">
        <f>HomeTeam!$D$2</f>
        <v>Lisburn</v>
      </c>
      <c r="C149" s="108">
        <v>2</v>
      </c>
      <c r="D149" s="351">
        <f>HomeTeam!$K$18</f>
        <v>0</v>
      </c>
      <c r="E149" s="352"/>
      <c r="F149" s="212">
        <v>25.04</v>
      </c>
      <c r="G149" s="208">
        <v>2</v>
      </c>
      <c r="H149" s="166">
        <f t="shared" si="11"/>
        <v>3</v>
      </c>
      <c r="I149" s="364"/>
      <c r="J149" s="105"/>
      <c r="K149" s="412">
        <v>5</v>
      </c>
    </row>
    <row r="150" spans="1:11" ht="11.85" customHeight="1" thickBot="1">
      <c r="A150" s="115"/>
      <c r="B150" s="402"/>
      <c r="C150" s="108">
        <v>4</v>
      </c>
      <c r="D150" s="351">
        <f>HomeTeam!$L$18</f>
        <v>0</v>
      </c>
      <c r="E150" s="352"/>
      <c r="F150" s="212">
        <v>26.93</v>
      </c>
      <c r="G150" s="208">
        <v>6</v>
      </c>
      <c r="H150" s="166" t="str">
        <f t="shared" si="11"/>
        <v/>
      </c>
      <c r="I150" s="365"/>
      <c r="J150" s="105"/>
      <c r="K150" s="413"/>
    </row>
    <row r="151" spans="1:11" ht="11.85" customHeight="1" thickBot="1">
      <c r="A151" s="115"/>
      <c r="B151" s="402"/>
      <c r="C151" s="108">
        <v>6</v>
      </c>
      <c r="D151" s="351">
        <f>HomeTeam!$M$18</f>
        <v>0</v>
      </c>
      <c r="E151" s="352"/>
      <c r="F151" s="212">
        <v>25.44</v>
      </c>
      <c r="G151" s="208">
        <v>3</v>
      </c>
      <c r="H151" s="166">
        <f t="shared" si="11"/>
        <v>2</v>
      </c>
      <c r="I151" s="365"/>
      <c r="J151" s="105"/>
      <c r="K151" s="413"/>
    </row>
    <row r="152" spans="1:11" ht="11.85" customHeight="1" thickBot="1">
      <c r="A152" s="117"/>
      <c r="B152" s="405"/>
      <c r="C152" s="113">
        <v>8</v>
      </c>
      <c r="D152" s="355">
        <f>HomeTeam!$N$18</f>
        <v>0</v>
      </c>
      <c r="E152" s="356"/>
      <c r="F152" s="213">
        <v>25.55</v>
      </c>
      <c r="G152" s="209">
        <v>5</v>
      </c>
      <c r="H152" s="167" t="str">
        <f t="shared" si="11"/>
        <v/>
      </c>
      <c r="I152" s="366"/>
      <c r="J152" s="105"/>
      <c r="K152" s="414"/>
    </row>
    <row r="153" spans="1:11" ht="11.85" customHeight="1">
      <c r="A153" s="115"/>
      <c r="B153" s="401" t="str">
        <f>AwayTeam!$D$2</f>
        <v>Limavady</v>
      </c>
      <c r="C153" s="103">
        <v>1</v>
      </c>
      <c r="D153" s="379" t="str">
        <f>AwayTeam!$D$19</f>
        <v>Amy Mc Gurk</v>
      </c>
      <c r="E153" s="380"/>
      <c r="F153" s="214">
        <v>23.43</v>
      </c>
      <c r="G153" s="207">
        <v>2</v>
      </c>
      <c r="H153" s="168">
        <f>IF(OR(G153="",G153=5,G153=6, G153=7, G153=8),"",IF(G153=4,1,IF(G153=3,2,IF(G153=2,3,4))))</f>
        <v>3</v>
      </c>
      <c r="I153" s="348">
        <v>7</v>
      </c>
      <c r="J153" s="152"/>
      <c r="K153" s="364"/>
    </row>
    <row r="154" spans="1:11" ht="11.85" customHeight="1">
      <c r="A154" s="115"/>
      <c r="B154" s="402"/>
      <c r="C154" s="108">
        <v>3</v>
      </c>
      <c r="D154" s="351" t="str">
        <f>AwayTeam!$E$19</f>
        <v>Brooke Mc Clamont</v>
      </c>
      <c r="E154" s="352"/>
      <c r="F154" s="212">
        <v>21.73</v>
      </c>
      <c r="G154" s="208">
        <v>1</v>
      </c>
      <c r="H154" s="166">
        <f t="shared" ref="H154:H160" si="12">IF(OR(G154="",G154=5,G154=6, G154=7, G154=8),"",IF(G154=4,1,IF(G154=3,2,IF(G154=2,3,4))))</f>
        <v>4</v>
      </c>
      <c r="I154" s="349"/>
      <c r="J154" s="153"/>
      <c r="K154" s="365"/>
    </row>
    <row r="155" spans="1:11" ht="11.85" customHeight="1">
      <c r="A155" s="115">
        <v>17</v>
      </c>
      <c r="B155" s="402"/>
      <c r="C155" s="108">
        <v>5</v>
      </c>
      <c r="D155" s="351" t="str">
        <f>AwayTeam!$F$19</f>
        <v>Kensa Lawry</v>
      </c>
      <c r="E155" s="352"/>
      <c r="F155" s="212">
        <v>26.92</v>
      </c>
      <c r="G155" s="208">
        <v>7</v>
      </c>
      <c r="H155" s="166" t="str">
        <f t="shared" si="12"/>
        <v/>
      </c>
      <c r="I155" s="349"/>
      <c r="J155" s="153"/>
      <c r="K155" s="365"/>
    </row>
    <row r="156" spans="1:11" ht="11.85" customHeight="1" thickBot="1">
      <c r="A156" s="115" t="s">
        <v>11</v>
      </c>
      <c r="B156" s="403"/>
      <c r="C156" s="108">
        <v>7</v>
      </c>
      <c r="D156" s="351" t="str">
        <f>AwayTeam!$G$19</f>
        <v>Ellen Gibbons</v>
      </c>
      <c r="E156" s="352"/>
      <c r="F156" s="212">
        <v>28.5</v>
      </c>
      <c r="G156" s="208">
        <v>8</v>
      </c>
      <c r="H156" s="166" t="str">
        <f t="shared" si="12"/>
        <v/>
      </c>
      <c r="I156" s="350"/>
      <c r="J156" s="154"/>
      <c r="K156" s="366"/>
    </row>
    <row r="157" spans="1:11" ht="11.85" customHeight="1" thickBot="1">
      <c r="A157" s="115" t="s">
        <v>8</v>
      </c>
      <c r="B157" s="404" t="str">
        <f>HomeTeam!$D$2</f>
        <v>Lisburn</v>
      </c>
      <c r="C157" s="108">
        <v>2</v>
      </c>
      <c r="D157" s="351">
        <f>HomeTeam!$D$19</f>
        <v>0</v>
      </c>
      <c r="E157" s="352"/>
      <c r="F157" s="212">
        <v>27.63</v>
      </c>
      <c r="G157" s="208">
        <v>5</v>
      </c>
      <c r="H157" s="166" t="str">
        <f t="shared" si="12"/>
        <v/>
      </c>
      <c r="I157" s="364"/>
      <c r="J157" s="105"/>
      <c r="K157" s="412">
        <v>3</v>
      </c>
    </row>
    <row r="158" spans="1:11" ht="11.85" customHeight="1" thickBot="1">
      <c r="A158" s="115"/>
      <c r="B158" s="402"/>
      <c r="C158" s="108">
        <v>4</v>
      </c>
      <c r="D158" s="351">
        <f>HomeTeam!$E$19</f>
        <v>0</v>
      </c>
      <c r="E158" s="352"/>
      <c r="F158" s="212">
        <v>23.9</v>
      </c>
      <c r="G158" s="208">
        <v>4</v>
      </c>
      <c r="H158" s="166">
        <f t="shared" si="12"/>
        <v>1</v>
      </c>
      <c r="I158" s="365"/>
      <c r="J158" s="105"/>
      <c r="K158" s="413"/>
    </row>
    <row r="159" spans="1:11" ht="11.85" customHeight="1" thickBot="1">
      <c r="A159" s="115"/>
      <c r="B159" s="402"/>
      <c r="C159" s="108">
        <v>6</v>
      </c>
      <c r="D159" s="351">
        <f>HomeTeam!$F$19</f>
        <v>0</v>
      </c>
      <c r="E159" s="352"/>
      <c r="F159" s="212">
        <v>23.66</v>
      </c>
      <c r="G159" s="208">
        <v>3</v>
      </c>
      <c r="H159" s="166">
        <f t="shared" si="12"/>
        <v>2</v>
      </c>
      <c r="I159" s="365"/>
      <c r="J159" s="105"/>
      <c r="K159" s="413"/>
    </row>
    <row r="160" spans="1:11" ht="11.85" customHeight="1" thickBot="1">
      <c r="A160" s="117"/>
      <c r="B160" s="405"/>
      <c r="C160" s="113">
        <v>8</v>
      </c>
      <c r="D160" s="355">
        <f>HomeTeam!$G$19</f>
        <v>0</v>
      </c>
      <c r="E160" s="356"/>
      <c r="F160" s="213">
        <v>24.64</v>
      </c>
      <c r="G160" s="209">
        <v>6</v>
      </c>
      <c r="H160" s="167" t="str">
        <f t="shared" si="12"/>
        <v/>
      </c>
      <c r="I160" s="366"/>
      <c r="J160" s="105"/>
      <c r="K160" s="414"/>
    </row>
    <row r="161" spans="1:11" ht="11.85" customHeight="1">
      <c r="A161" s="115"/>
      <c r="B161" s="401" t="str">
        <f>AwayTeam!$D$2</f>
        <v>Limavady</v>
      </c>
      <c r="C161" s="103">
        <v>1</v>
      </c>
      <c r="D161" s="379" t="str">
        <f>AwayTeam!$K$19</f>
        <v>Alexander Blaha</v>
      </c>
      <c r="E161" s="380"/>
      <c r="F161" s="214">
        <v>22.55</v>
      </c>
      <c r="G161" s="207">
        <v>4</v>
      </c>
      <c r="H161" s="168">
        <f>IF(OR(G161="",G161=5,G161=6, G161=7, G161=8),"",IF(G161=4,1,IF(G161=3,2,IF(G161=2,3,4))))</f>
        <v>1</v>
      </c>
      <c r="I161" s="348">
        <v>5</v>
      </c>
      <c r="J161" s="152"/>
      <c r="K161" s="364"/>
    </row>
    <row r="162" spans="1:11" ht="11.85" customHeight="1">
      <c r="A162" s="115"/>
      <c r="B162" s="402"/>
      <c r="C162" s="108">
        <v>3</v>
      </c>
      <c r="D162" s="351" t="str">
        <f>AwayTeam!$L$19</f>
        <v>Cailean Gallagher</v>
      </c>
      <c r="E162" s="352"/>
      <c r="F162" s="212">
        <v>20.56</v>
      </c>
      <c r="G162" s="208">
        <v>1</v>
      </c>
      <c r="H162" s="166">
        <f t="shared" ref="H162:H168" si="13">IF(OR(G162="",G162=5,G162=6, G162=7, G162=8),"",IF(G162=4,1,IF(G162=3,2,IF(G162=2,3,4))))</f>
        <v>4</v>
      </c>
      <c r="I162" s="349"/>
      <c r="J162" s="153"/>
      <c r="K162" s="365"/>
    </row>
    <row r="163" spans="1:11" ht="11.85" customHeight="1">
      <c r="A163" s="115">
        <v>18</v>
      </c>
      <c r="B163" s="402"/>
      <c r="C163" s="108">
        <v>5</v>
      </c>
      <c r="D163" s="351" t="str">
        <f>AwayTeam!$M$19</f>
        <v>Lewis Robinson</v>
      </c>
      <c r="E163" s="352"/>
      <c r="F163" s="212">
        <v>24.53</v>
      </c>
      <c r="G163" s="208">
        <v>6</v>
      </c>
      <c r="H163" s="166" t="str">
        <f t="shared" si="13"/>
        <v/>
      </c>
      <c r="I163" s="349"/>
      <c r="J163" s="153"/>
      <c r="K163" s="365"/>
    </row>
    <row r="164" spans="1:11" ht="11.85" customHeight="1" thickBot="1">
      <c r="A164" s="115" t="s">
        <v>11</v>
      </c>
      <c r="B164" s="403"/>
      <c r="C164" s="108">
        <v>7</v>
      </c>
      <c r="D164" s="351" t="str">
        <f>AwayTeam!$N$19</f>
        <v>Oliver Smith</v>
      </c>
      <c r="E164" s="352"/>
      <c r="F164" s="212">
        <v>23.52</v>
      </c>
      <c r="G164" s="208">
        <v>5</v>
      </c>
      <c r="H164" s="166" t="str">
        <f t="shared" si="13"/>
        <v/>
      </c>
      <c r="I164" s="350"/>
      <c r="J164" s="154"/>
      <c r="K164" s="366"/>
    </row>
    <row r="165" spans="1:11" ht="11.85" customHeight="1" thickBot="1">
      <c r="A165" s="115" t="s">
        <v>9</v>
      </c>
      <c r="B165" s="404" t="str">
        <f>HomeTeam!$D$2</f>
        <v>Lisburn</v>
      </c>
      <c r="C165" s="108">
        <v>2</v>
      </c>
      <c r="D165" s="351">
        <f>HomeTeam!$K$19</f>
        <v>0</v>
      </c>
      <c r="E165" s="352"/>
      <c r="F165" s="212">
        <v>24.61</v>
      </c>
      <c r="G165" s="208">
        <v>8</v>
      </c>
      <c r="H165" s="166" t="str">
        <f t="shared" si="13"/>
        <v/>
      </c>
      <c r="I165" s="364"/>
      <c r="J165" s="105"/>
      <c r="K165" s="412">
        <v>5</v>
      </c>
    </row>
    <row r="166" spans="1:11" ht="11.85" customHeight="1" thickBot="1">
      <c r="A166" s="115"/>
      <c r="B166" s="402"/>
      <c r="C166" s="108">
        <v>4</v>
      </c>
      <c r="D166" s="351">
        <f>HomeTeam!$L$19</f>
        <v>0</v>
      </c>
      <c r="E166" s="352"/>
      <c r="F166" s="212">
        <v>21</v>
      </c>
      <c r="G166" s="208">
        <v>2</v>
      </c>
      <c r="H166" s="166">
        <f t="shared" si="13"/>
        <v>3</v>
      </c>
      <c r="I166" s="365"/>
      <c r="J166" s="105"/>
      <c r="K166" s="413"/>
    </row>
    <row r="167" spans="1:11" ht="11.85" customHeight="1" thickBot="1">
      <c r="A167" s="115"/>
      <c r="B167" s="402"/>
      <c r="C167" s="108">
        <v>6</v>
      </c>
      <c r="D167" s="351">
        <f>HomeTeam!$M$19</f>
        <v>0</v>
      </c>
      <c r="E167" s="352"/>
      <c r="F167" s="212">
        <v>21.49</v>
      </c>
      <c r="G167" s="208">
        <v>3</v>
      </c>
      <c r="H167" s="166">
        <f t="shared" si="13"/>
        <v>2</v>
      </c>
      <c r="I167" s="365"/>
      <c r="J167" s="105"/>
      <c r="K167" s="413"/>
    </row>
    <row r="168" spans="1:11" ht="11.85" customHeight="1" thickBot="1">
      <c r="A168" s="117"/>
      <c r="B168" s="405"/>
      <c r="C168" s="113">
        <v>8</v>
      </c>
      <c r="D168" s="355">
        <f>HomeTeam!$N$19</f>
        <v>0</v>
      </c>
      <c r="E168" s="356"/>
      <c r="F168" s="213">
        <v>24.87</v>
      </c>
      <c r="G168" s="209">
        <v>7</v>
      </c>
      <c r="H168" s="167" t="str">
        <f t="shared" si="13"/>
        <v/>
      </c>
      <c r="I168" s="366"/>
      <c r="J168" s="105"/>
      <c r="K168" s="414"/>
    </row>
    <row r="169" spans="1:11" ht="11.85" customHeight="1">
      <c r="A169" s="115"/>
      <c r="B169" s="401" t="str">
        <f>AwayTeam!$D$2</f>
        <v>Limavady</v>
      </c>
      <c r="C169" s="103">
        <v>1</v>
      </c>
      <c r="D169" s="379" t="str">
        <f>AwayTeam!$D$20</f>
        <v>Niamh Mc Henry</v>
      </c>
      <c r="E169" s="380"/>
      <c r="F169" s="214">
        <v>21.1</v>
      </c>
      <c r="G169" s="207">
        <v>3</v>
      </c>
      <c r="H169" s="168">
        <f>IF(OR(G169="",G169=5,G169=6, G169=7, G169=8),"",IF(G169=4,1,IF(G169=3,2,IF(G169=2,3,4))))</f>
        <v>2</v>
      </c>
      <c r="I169" s="348">
        <v>3</v>
      </c>
      <c r="J169" s="152"/>
      <c r="K169" s="364"/>
    </row>
    <row r="170" spans="1:11" ht="11.85" customHeight="1">
      <c r="A170" s="115"/>
      <c r="B170" s="402"/>
      <c r="C170" s="108">
        <v>3</v>
      </c>
      <c r="D170" s="351" t="str">
        <f>AwayTeam!$E$20</f>
        <v>Rose Mc Laughlin</v>
      </c>
      <c r="E170" s="352"/>
      <c r="F170" s="212">
        <v>22.18</v>
      </c>
      <c r="G170" s="208">
        <v>4</v>
      </c>
      <c r="H170" s="166">
        <f t="shared" ref="H170:H176" si="14">IF(OR(G170="",G170=5,G170=6, G170=7, G170=8),"",IF(G170=4,1,IF(G170=3,2,IF(G170=2,3,4))))</f>
        <v>1</v>
      </c>
      <c r="I170" s="349"/>
      <c r="J170" s="153"/>
      <c r="K170" s="365"/>
    </row>
    <row r="171" spans="1:11" ht="11.85" customHeight="1">
      <c r="A171" s="115">
        <v>19</v>
      </c>
      <c r="B171" s="402"/>
      <c r="C171" s="108">
        <v>5</v>
      </c>
      <c r="D171" s="351" t="str">
        <f>AwayTeam!$F$20</f>
        <v>Annaleece Heatherington</v>
      </c>
      <c r="E171" s="352"/>
      <c r="F171" s="212">
        <v>25.16</v>
      </c>
      <c r="G171" s="208">
        <v>7</v>
      </c>
      <c r="H171" s="166" t="str">
        <f t="shared" si="14"/>
        <v/>
      </c>
      <c r="I171" s="349"/>
      <c r="J171" s="153"/>
      <c r="K171" s="365"/>
    </row>
    <row r="172" spans="1:11" ht="11.85" customHeight="1" thickBot="1">
      <c r="A172" s="115" t="s">
        <v>12</v>
      </c>
      <c r="B172" s="403"/>
      <c r="C172" s="108">
        <v>7</v>
      </c>
      <c r="D172" s="351" t="str">
        <f>AwayTeam!$G$20</f>
        <v>Cara Gallagher</v>
      </c>
      <c r="E172" s="352"/>
      <c r="F172" s="212">
        <v>24.89</v>
      </c>
      <c r="G172" s="208">
        <v>8</v>
      </c>
      <c r="H172" s="166" t="str">
        <f t="shared" si="14"/>
        <v/>
      </c>
      <c r="I172" s="350"/>
      <c r="J172" s="154"/>
      <c r="K172" s="366"/>
    </row>
    <row r="173" spans="1:11" ht="11.85" customHeight="1" thickBot="1">
      <c r="A173" s="115" t="s">
        <v>8</v>
      </c>
      <c r="B173" s="404" t="str">
        <f>HomeTeam!$D$2</f>
        <v>Lisburn</v>
      </c>
      <c r="C173" s="108">
        <v>2</v>
      </c>
      <c r="D173" s="351">
        <f>HomeTeam!$D$20</f>
        <v>0</v>
      </c>
      <c r="E173" s="352"/>
      <c r="F173" s="212">
        <v>20.239999999999998</v>
      </c>
      <c r="G173" s="208">
        <v>5</v>
      </c>
      <c r="H173" s="166" t="str">
        <f t="shared" si="14"/>
        <v/>
      </c>
      <c r="I173" s="364"/>
      <c r="J173" s="105"/>
      <c r="K173" s="412">
        <v>7</v>
      </c>
    </row>
    <row r="174" spans="1:11" ht="11.85" customHeight="1" thickBot="1">
      <c r="A174" s="115"/>
      <c r="B174" s="402"/>
      <c r="C174" s="108">
        <v>4</v>
      </c>
      <c r="D174" s="351">
        <f>HomeTeam!$E$20</f>
        <v>0</v>
      </c>
      <c r="E174" s="352"/>
      <c r="F174" s="212">
        <v>19.64</v>
      </c>
      <c r="G174" s="208">
        <v>2</v>
      </c>
      <c r="H174" s="166">
        <f t="shared" si="14"/>
        <v>3</v>
      </c>
      <c r="I174" s="365"/>
      <c r="J174" s="105"/>
      <c r="K174" s="413"/>
    </row>
    <row r="175" spans="1:11" ht="11.85" customHeight="1" thickBot="1">
      <c r="A175" s="115"/>
      <c r="B175" s="402"/>
      <c r="C175" s="108">
        <v>6</v>
      </c>
      <c r="D175" s="351">
        <f>HomeTeam!$F$20</f>
        <v>0</v>
      </c>
      <c r="E175" s="352"/>
      <c r="F175" s="212">
        <v>18.93</v>
      </c>
      <c r="G175" s="208">
        <v>1</v>
      </c>
      <c r="H175" s="166">
        <f t="shared" si="14"/>
        <v>4</v>
      </c>
      <c r="I175" s="365"/>
      <c r="J175" s="105"/>
      <c r="K175" s="413"/>
    </row>
    <row r="176" spans="1:11" ht="11.85" customHeight="1" thickBot="1">
      <c r="A176" s="117"/>
      <c r="B176" s="405"/>
      <c r="C176" s="113">
        <v>8</v>
      </c>
      <c r="D176" s="355">
        <f>HomeTeam!$G$20</f>
        <v>0</v>
      </c>
      <c r="E176" s="356"/>
      <c r="F176" s="213">
        <v>20.16</v>
      </c>
      <c r="G176" s="209">
        <v>7</v>
      </c>
      <c r="H176" s="167" t="str">
        <f t="shared" si="14"/>
        <v/>
      </c>
      <c r="I176" s="366"/>
      <c r="J176" s="105"/>
      <c r="K176" s="414"/>
    </row>
    <row r="177" spans="1:11" ht="11.85" customHeight="1">
      <c r="A177" s="115"/>
      <c r="B177" s="401" t="str">
        <f>AwayTeam!$D$2</f>
        <v>Limavady</v>
      </c>
      <c r="C177" s="103">
        <v>1</v>
      </c>
      <c r="D177" s="379" t="str">
        <f>AwayTeam!$K$20</f>
        <v>Jude Williams</v>
      </c>
      <c r="E177" s="380"/>
      <c r="F177" s="214">
        <v>22.04</v>
      </c>
      <c r="G177" s="207">
        <v>4</v>
      </c>
      <c r="H177" s="168">
        <f>IF(OR(G177="",G177=5,G177=6, G177=7, G177=8),"",IF(G177=4,1,IF(G177=3,2,IF(G177=2,3,4))))</f>
        <v>1</v>
      </c>
      <c r="I177" s="348">
        <v>4</v>
      </c>
      <c r="J177" s="152"/>
      <c r="K177" s="364"/>
    </row>
    <row r="178" spans="1:11" ht="11.85" customHeight="1">
      <c r="A178" s="115"/>
      <c r="B178" s="402"/>
      <c r="C178" s="103">
        <v>3</v>
      </c>
      <c r="D178" s="351" t="str">
        <f>AwayTeam!$L$20</f>
        <v>Alex Whiteside</v>
      </c>
      <c r="E178" s="352"/>
      <c r="F178" s="214">
        <v>21.52</v>
      </c>
      <c r="G178" s="210">
        <v>2</v>
      </c>
      <c r="H178" s="166">
        <f t="shared" ref="H178:H184" si="15">IF(OR(G178="",G178=5,G178=6, G178=7, G178=8),"",IF(G178=4,1,IF(G178=3,2,IF(G178=2,3,4))))</f>
        <v>3</v>
      </c>
      <c r="I178" s="349"/>
      <c r="J178" s="153"/>
      <c r="K178" s="365"/>
    </row>
    <row r="179" spans="1:11" ht="11.85" customHeight="1">
      <c r="A179" s="115">
        <v>20</v>
      </c>
      <c r="B179" s="402"/>
      <c r="C179" s="108">
        <v>5</v>
      </c>
      <c r="D179" s="351" t="str">
        <f>AwayTeam!$M$20</f>
        <v>Joshua Hunt</v>
      </c>
      <c r="E179" s="352"/>
      <c r="F179" s="212">
        <v>20.96</v>
      </c>
      <c r="G179" s="208">
        <v>6</v>
      </c>
      <c r="H179" s="166" t="str">
        <f t="shared" si="15"/>
        <v/>
      </c>
      <c r="I179" s="349"/>
      <c r="J179" s="153"/>
      <c r="K179" s="365"/>
    </row>
    <row r="180" spans="1:11" ht="11.85" customHeight="1" thickBot="1">
      <c r="A180" s="115" t="s">
        <v>12</v>
      </c>
      <c r="B180" s="403"/>
      <c r="C180" s="108">
        <v>7</v>
      </c>
      <c r="D180" s="351" t="str">
        <f>AwayTeam!$N$20</f>
        <v>Ben Dinsmore</v>
      </c>
      <c r="E180" s="352"/>
      <c r="F180" s="212">
        <v>25.18</v>
      </c>
      <c r="G180" s="208">
        <v>7</v>
      </c>
      <c r="H180" s="166" t="str">
        <f t="shared" si="15"/>
        <v/>
      </c>
      <c r="I180" s="350"/>
      <c r="J180" s="154"/>
      <c r="K180" s="366"/>
    </row>
    <row r="181" spans="1:11" ht="11.85" customHeight="1" thickBot="1">
      <c r="A181" s="115" t="s">
        <v>9</v>
      </c>
      <c r="B181" s="404" t="str">
        <f>HomeTeam!$D$2</f>
        <v>Lisburn</v>
      </c>
      <c r="C181" s="108">
        <v>2</v>
      </c>
      <c r="D181" s="351">
        <f>HomeTeam!$K$20</f>
        <v>0</v>
      </c>
      <c r="E181" s="352"/>
      <c r="F181" s="212">
        <v>21.7</v>
      </c>
      <c r="G181" s="208">
        <v>3</v>
      </c>
      <c r="H181" s="166">
        <f t="shared" si="15"/>
        <v>2</v>
      </c>
      <c r="I181" s="364"/>
      <c r="J181" s="105"/>
      <c r="K181" s="412">
        <v>6</v>
      </c>
    </row>
    <row r="182" spans="1:11" ht="11.85" customHeight="1" thickBot="1">
      <c r="A182" s="115"/>
      <c r="B182" s="402"/>
      <c r="C182" s="108">
        <v>4</v>
      </c>
      <c r="D182" s="351">
        <f>HomeTeam!$L$20</f>
        <v>0</v>
      </c>
      <c r="E182" s="352"/>
      <c r="F182" s="212">
        <v>19.559999999999999</v>
      </c>
      <c r="G182" s="208">
        <v>1</v>
      </c>
      <c r="H182" s="166">
        <f t="shared" si="15"/>
        <v>4</v>
      </c>
      <c r="I182" s="365"/>
      <c r="J182" s="105"/>
      <c r="K182" s="413"/>
    </row>
    <row r="183" spans="1:11" ht="11.85" customHeight="1" thickBot="1">
      <c r="A183" s="115"/>
      <c r="B183" s="402"/>
      <c r="C183" s="108">
        <v>6</v>
      </c>
      <c r="D183" s="351">
        <f>HomeTeam!$M$20</f>
        <v>0</v>
      </c>
      <c r="E183" s="352"/>
      <c r="F183" s="212">
        <v>21.66</v>
      </c>
      <c r="G183" s="208">
        <v>5</v>
      </c>
      <c r="H183" s="166" t="str">
        <f t="shared" si="15"/>
        <v/>
      </c>
      <c r="I183" s="365"/>
      <c r="J183" s="105"/>
      <c r="K183" s="413"/>
    </row>
    <row r="184" spans="1:11" ht="11.85" customHeight="1" thickBot="1">
      <c r="A184" s="117"/>
      <c r="B184" s="405"/>
      <c r="C184" s="113">
        <v>8</v>
      </c>
      <c r="D184" s="355">
        <f>HomeTeam!$N$20</f>
        <v>0</v>
      </c>
      <c r="E184" s="356"/>
      <c r="F184" s="213">
        <v>22.61</v>
      </c>
      <c r="G184" s="209">
        <v>8</v>
      </c>
      <c r="H184" s="167" t="str">
        <f t="shared" si="15"/>
        <v/>
      </c>
      <c r="I184" s="366"/>
      <c r="J184" s="105"/>
      <c r="K184" s="414"/>
    </row>
    <row r="185" spans="1:11" ht="11.85" customHeight="1">
      <c r="A185" s="118"/>
      <c r="B185" s="119"/>
      <c r="C185" s="119"/>
      <c r="D185" s="120"/>
      <c r="E185" s="120"/>
      <c r="F185" s="169"/>
      <c r="G185" s="121" t="s">
        <v>13</v>
      </c>
      <c r="H185" s="170"/>
      <c r="I185" s="122">
        <f>SUM(I121,I129,I137,I145,I153,I161,I169,I177)</f>
        <v>37</v>
      </c>
      <c r="J185" s="121"/>
      <c r="K185" s="105">
        <f>SUM(K125,K133,K141,K149,K157,K165,K173,K181)</f>
        <v>43</v>
      </c>
    </row>
    <row r="186" spans="1:11" ht="11.85" customHeight="1">
      <c r="A186" s="118"/>
      <c r="B186" s="119"/>
      <c r="C186" s="119"/>
      <c r="D186" s="120"/>
      <c r="E186" s="120"/>
      <c r="F186" s="119"/>
      <c r="G186" s="119" t="s">
        <v>14</v>
      </c>
      <c r="H186" s="119"/>
      <c r="I186" s="123">
        <f>I116</f>
        <v>51</v>
      </c>
      <c r="J186" s="124"/>
      <c r="K186" s="133">
        <f>K116</f>
        <v>69</v>
      </c>
    </row>
    <row r="187" spans="1:11" ht="11.85" customHeight="1" thickBot="1">
      <c r="A187" s="125"/>
      <c r="B187" s="126"/>
      <c r="C187" s="126"/>
      <c r="D187" s="127"/>
      <c r="E187" s="127"/>
      <c r="F187" s="126"/>
      <c r="G187" s="126" t="s">
        <v>18</v>
      </c>
      <c r="H187" s="126"/>
      <c r="I187" s="128">
        <f>SUM(I185:I186)</f>
        <v>88</v>
      </c>
      <c r="J187" s="126"/>
      <c r="K187" s="134">
        <f>SUM(K185:K186)</f>
        <v>112</v>
      </c>
    </row>
    <row r="188" spans="1:11" ht="6.75" customHeight="1"/>
    <row r="189" spans="1:11">
      <c r="A189" s="411" t="s">
        <v>19</v>
      </c>
      <c r="B189" s="411"/>
      <c r="C189" s="411"/>
      <c r="D189" s="411"/>
      <c r="E189" s="411"/>
      <c r="F189" s="411"/>
      <c r="G189" s="411"/>
      <c r="H189" s="411"/>
      <c r="I189" s="411"/>
      <c r="J189" s="411"/>
      <c r="K189" s="411"/>
    </row>
    <row r="190" spans="1:11" ht="3.75" customHeight="1" thickBot="1"/>
    <row r="191" spans="1:11" ht="11.85" customHeight="1" thickBot="1">
      <c r="A191" s="100" t="s">
        <v>0</v>
      </c>
      <c r="B191" s="101" t="s">
        <v>1</v>
      </c>
      <c r="C191" s="101" t="s">
        <v>2</v>
      </c>
      <c r="D191" s="353" t="s">
        <v>3</v>
      </c>
      <c r="E191" s="354"/>
      <c r="F191" s="206" t="s">
        <v>4</v>
      </c>
      <c r="G191" s="215" t="s">
        <v>5</v>
      </c>
      <c r="H191" s="206" t="s">
        <v>6</v>
      </c>
      <c r="I191" s="398" t="s">
        <v>6</v>
      </c>
      <c r="J191" s="399"/>
      <c r="K191" s="400"/>
    </row>
    <row r="192" spans="1:11" ht="11.85" customHeight="1">
      <c r="A192" s="102"/>
      <c r="B192" s="401" t="str">
        <f>AwayTeam!$D$2</f>
        <v>Limavady</v>
      </c>
      <c r="C192" s="103">
        <v>1</v>
      </c>
      <c r="D192" s="379" t="str">
        <f>AwayTeam!$D$21</f>
        <v>Fiona O Neill</v>
      </c>
      <c r="E192" s="380"/>
      <c r="F192" s="211">
        <v>25.47</v>
      </c>
      <c r="G192" s="207">
        <v>2</v>
      </c>
      <c r="H192" s="168">
        <f>IF(OR(G192="",G192=5,G192=6, G192=7, G192=8),"",IF(G192=4,1,IF(G192=3,2,IF(G192=2,3,4))))</f>
        <v>3</v>
      </c>
      <c r="I192" s="348">
        <v>7</v>
      </c>
      <c r="J192" s="152"/>
      <c r="K192" s="364"/>
    </row>
    <row r="193" spans="1:11" ht="11.85" customHeight="1">
      <c r="A193" s="107"/>
      <c r="B193" s="402"/>
      <c r="C193" s="108">
        <v>3</v>
      </c>
      <c r="D193" s="351" t="str">
        <f>AwayTeam!$E$21</f>
        <v>Miya Mc Clamont</v>
      </c>
      <c r="E193" s="352"/>
      <c r="F193" s="212">
        <v>21.15</v>
      </c>
      <c r="G193" s="208">
        <v>1</v>
      </c>
      <c r="H193" s="166">
        <f t="shared" ref="H193:H199" si="16">IF(OR(G193="",G193=5,G193=6, G193=7, G193=8),"",IF(G193=4,1,IF(G193=3,2,IF(G193=2,3,4))))</f>
        <v>4</v>
      </c>
      <c r="I193" s="349"/>
      <c r="J193" s="153"/>
      <c r="K193" s="365"/>
    </row>
    <row r="194" spans="1:11" ht="11.85" customHeight="1">
      <c r="A194" s="107">
        <v>21</v>
      </c>
      <c r="B194" s="402"/>
      <c r="C194" s="108">
        <v>5</v>
      </c>
      <c r="D194" s="351" t="str">
        <f>AwayTeam!$F$21</f>
        <v>Caelyn O Connor</v>
      </c>
      <c r="E194" s="352"/>
      <c r="F194" s="212">
        <v>25.88</v>
      </c>
      <c r="G194" s="208">
        <v>5</v>
      </c>
      <c r="H194" s="166" t="str">
        <f t="shared" si="16"/>
        <v/>
      </c>
      <c r="I194" s="349"/>
      <c r="J194" s="153"/>
      <c r="K194" s="365"/>
    </row>
    <row r="195" spans="1:11" ht="11.85" customHeight="1" thickBot="1">
      <c r="A195" s="107" t="s">
        <v>7</v>
      </c>
      <c r="B195" s="403"/>
      <c r="C195" s="108">
        <v>7</v>
      </c>
      <c r="D195" s="351" t="str">
        <f>AwayTeam!$G$21</f>
        <v>Isobella Mc Carron</v>
      </c>
      <c r="E195" s="352"/>
      <c r="F195" s="212">
        <v>34.229999999999997</v>
      </c>
      <c r="G195" s="208">
        <v>8</v>
      </c>
      <c r="H195" s="166" t="str">
        <f t="shared" si="16"/>
        <v/>
      </c>
      <c r="I195" s="350"/>
      <c r="J195" s="154"/>
      <c r="K195" s="366"/>
    </row>
    <row r="196" spans="1:11" ht="11.85" customHeight="1" thickBot="1">
      <c r="A196" s="107" t="s">
        <v>8</v>
      </c>
      <c r="B196" s="402" t="str">
        <f>HomeTeam!$D$2</f>
        <v>Lisburn</v>
      </c>
      <c r="C196" s="108">
        <v>2</v>
      </c>
      <c r="D196" s="351">
        <f>HomeTeam!$D$21</f>
        <v>0</v>
      </c>
      <c r="E196" s="352"/>
      <c r="F196" s="212">
        <v>33.04</v>
      </c>
      <c r="G196" s="208">
        <v>6</v>
      </c>
      <c r="H196" s="166" t="str">
        <f t="shared" si="16"/>
        <v/>
      </c>
      <c r="I196" s="364"/>
      <c r="J196" s="105"/>
      <c r="K196" s="412">
        <v>3</v>
      </c>
    </row>
    <row r="197" spans="1:11" ht="11.85" customHeight="1" thickBot="1">
      <c r="A197" s="107"/>
      <c r="B197" s="402"/>
      <c r="C197" s="108">
        <v>4</v>
      </c>
      <c r="D197" s="351">
        <f>HomeTeam!$E$21</f>
        <v>0</v>
      </c>
      <c r="E197" s="352"/>
      <c r="F197" s="212">
        <v>27.46</v>
      </c>
      <c r="G197" s="208">
        <v>3</v>
      </c>
      <c r="H197" s="166">
        <f t="shared" si="16"/>
        <v>2</v>
      </c>
      <c r="I197" s="365"/>
      <c r="J197" s="105"/>
      <c r="K197" s="413"/>
    </row>
    <row r="198" spans="1:11" ht="11.85" customHeight="1" thickBot="1">
      <c r="A198" s="107"/>
      <c r="B198" s="402"/>
      <c r="C198" s="108">
        <v>6</v>
      </c>
      <c r="D198" s="351">
        <f>HomeTeam!$F$21</f>
        <v>0</v>
      </c>
      <c r="E198" s="352"/>
      <c r="F198" s="212">
        <v>33.090000000000003</v>
      </c>
      <c r="G198" s="208">
        <v>4</v>
      </c>
      <c r="H198" s="166">
        <f t="shared" si="16"/>
        <v>1</v>
      </c>
      <c r="I198" s="365"/>
      <c r="J198" s="105"/>
      <c r="K198" s="413"/>
    </row>
    <row r="199" spans="1:11" ht="11.85" customHeight="1" thickBot="1">
      <c r="A199" s="112"/>
      <c r="B199" s="405"/>
      <c r="C199" s="113">
        <v>8</v>
      </c>
      <c r="D199" s="355">
        <f>HomeTeam!$G$21</f>
        <v>0</v>
      </c>
      <c r="E199" s="356"/>
      <c r="F199" s="213">
        <v>34.29</v>
      </c>
      <c r="G199" s="209">
        <v>7</v>
      </c>
      <c r="H199" s="167" t="str">
        <f t="shared" si="16"/>
        <v/>
      </c>
      <c r="I199" s="366"/>
      <c r="J199" s="105"/>
      <c r="K199" s="414"/>
    </row>
    <row r="200" spans="1:11" ht="11.85" customHeight="1">
      <c r="A200" s="115"/>
      <c r="B200" s="401" t="str">
        <f>AwayTeam!$D$2</f>
        <v>Limavady</v>
      </c>
      <c r="C200" s="103">
        <v>1</v>
      </c>
      <c r="D200" s="379" t="str">
        <f>AwayTeam!$K$21</f>
        <v>Ollie Mc Mackin</v>
      </c>
      <c r="E200" s="380"/>
      <c r="F200" s="214">
        <v>28.66</v>
      </c>
      <c r="G200" s="210">
        <v>7</v>
      </c>
      <c r="H200" s="168" t="str">
        <f>IF(OR(G200="",G200=5,G200=6, G200=7, G200=8),"",IF(G200=4,1,IF(G200=3,2,IF(G200=2,3,4))))</f>
        <v/>
      </c>
      <c r="I200" s="348">
        <v>3</v>
      </c>
      <c r="J200" s="152"/>
      <c r="K200" s="364"/>
    </row>
    <row r="201" spans="1:11" ht="11.85" customHeight="1">
      <c r="A201" s="115"/>
      <c r="B201" s="402"/>
      <c r="C201" s="108">
        <v>3</v>
      </c>
      <c r="D201" s="351" t="str">
        <f>AwayTeam!$L$21</f>
        <v>Tom Cormie</v>
      </c>
      <c r="E201" s="352"/>
      <c r="F201" s="212">
        <v>25.75</v>
      </c>
      <c r="G201" s="208">
        <v>3</v>
      </c>
      <c r="H201" s="166">
        <f t="shared" ref="H201:H207" si="17">IF(OR(G201="",G201=5,G201=6, G201=7, G201=8),"",IF(G201=4,1,IF(G201=3,2,IF(G201=2,3,4))))</f>
        <v>2</v>
      </c>
      <c r="I201" s="349"/>
      <c r="J201" s="153"/>
      <c r="K201" s="365"/>
    </row>
    <row r="202" spans="1:11" ht="11.85" customHeight="1">
      <c r="A202" s="115">
        <v>22</v>
      </c>
      <c r="B202" s="402"/>
      <c r="C202" s="108">
        <v>5</v>
      </c>
      <c r="D202" s="351" t="str">
        <f>AwayTeam!$M$21</f>
        <v>Eoin Mc Alinden</v>
      </c>
      <c r="E202" s="352"/>
      <c r="F202" s="212">
        <v>28.44</v>
      </c>
      <c r="G202" s="208">
        <v>4</v>
      </c>
      <c r="H202" s="166">
        <f t="shared" si="17"/>
        <v>1</v>
      </c>
      <c r="I202" s="349"/>
      <c r="J202" s="153"/>
      <c r="K202" s="365"/>
    </row>
    <row r="203" spans="1:11" ht="11.85" customHeight="1" thickBot="1">
      <c r="A203" s="115" t="s">
        <v>7</v>
      </c>
      <c r="B203" s="403"/>
      <c r="C203" s="108">
        <v>7</v>
      </c>
      <c r="D203" s="351" t="str">
        <f>AwayTeam!$N$21</f>
        <v>Luke Blair</v>
      </c>
      <c r="E203" s="352"/>
      <c r="F203" s="212">
        <v>34.200000000000003</v>
      </c>
      <c r="G203" s="208">
        <v>8</v>
      </c>
      <c r="H203" s="166" t="str">
        <f t="shared" si="17"/>
        <v/>
      </c>
      <c r="I203" s="350"/>
      <c r="J203" s="154"/>
      <c r="K203" s="366"/>
    </row>
    <row r="204" spans="1:11" ht="11.85" customHeight="1" thickBot="1">
      <c r="A204" s="115" t="s">
        <v>9</v>
      </c>
      <c r="B204" s="404" t="str">
        <f>HomeTeam!$D$2</f>
        <v>Lisburn</v>
      </c>
      <c r="C204" s="108">
        <v>2</v>
      </c>
      <c r="D204" s="351">
        <f>HomeTeam!$K$21</f>
        <v>0</v>
      </c>
      <c r="E204" s="352"/>
      <c r="F204" s="212">
        <v>26.44</v>
      </c>
      <c r="G204" s="208">
        <v>6</v>
      </c>
      <c r="H204" s="166" t="str">
        <f t="shared" si="17"/>
        <v/>
      </c>
      <c r="I204" s="364"/>
      <c r="J204" s="105"/>
      <c r="K204" s="412">
        <v>7</v>
      </c>
    </row>
    <row r="205" spans="1:11" ht="11.85" customHeight="1" thickBot="1">
      <c r="A205" s="115"/>
      <c r="B205" s="402"/>
      <c r="C205" s="108">
        <v>4</v>
      </c>
      <c r="D205" s="351">
        <f>HomeTeam!$L$21</f>
        <v>0</v>
      </c>
      <c r="E205" s="352"/>
      <c r="F205" s="212">
        <v>20.239999999999998</v>
      </c>
      <c r="G205" s="208">
        <v>1</v>
      </c>
      <c r="H205" s="166">
        <f t="shared" si="17"/>
        <v>4</v>
      </c>
      <c r="I205" s="365"/>
      <c r="J205" s="105"/>
      <c r="K205" s="413"/>
    </row>
    <row r="206" spans="1:11" ht="11.85" customHeight="1" thickBot="1">
      <c r="A206" s="115"/>
      <c r="B206" s="402"/>
      <c r="C206" s="108">
        <v>6</v>
      </c>
      <c r="D206" s="351">
        <f>HomeTeam!$M$21</f>
        <v>0</v>
      </c>
      <c r="E206" s="352"/>
      <c r="F206" s="212">
        <v>23.16</v>
      </c>
      <c r="G206" s="208">
        <v>2</v>
      </c>
      <c r="H206" s="166">
        <f t="shared" si="17"/>
        <v>3</v>
      </c>
      <c r="I206" s="365"/>
      <c r="J206" s="105"/>
      <c r="K206" s="413"/>
    </row>
    <row r="207" spans="1:11" ht="11.85" customHeight="1" thickBot="1">
      <c r="A207" s="117"/>
      <c r="B207" s="405"/>
      <c r="C207" s="113">
        <v>8</v>
      </c>
      <c r="D207" s="355">
        <f>HomeTeam!$N$21</f>
        <v>0</v>
      </c>
      <c r="E207" s="356"/>
      <c r="F207" s="213">
        <v>25.5</v>
      </c>
      <c r="G207" s="209">
        <v>5</v>
      </c>
      <c r="H207" s="167" t="str">
        <f t="shared" si="17"/>
        <v/>
      </c>
      <c r="I207" s="366"/>
      <c r="J207" s="105"/>
      <c r="K207" s="414"/>
    </row>
    <row r="208" spans="1:11" ht="11.85" customHeight="1">
      <c r="A208" s="115"/>
      <c r="B208" s="401" t="str">
        <f>AwayTeam!$D$2</f>
        <v>Limavady</v>
      </c>
      <c r="C208" s="103">
        <v>1</v>
      </c>
      <c r="D208" s="379" t="str">
        <f>AwayTeam!$D$22</f>
        <v>Eva Campbell</v>
      </c>
      <c r="E208" s="380"/>
      <c r="F208" s="214">
        <v>25.21</v>
      </c>
      <c r="G208" s="207">
        <v>6</v>
      </c>
      <c r="H208" s="168" t="str">
        <f>IF(OR(G208="",G208=5,G208=6, G208=7, G208=8),"",IF(G208=4,1,IF(G208=3,2,IF(G208=2,3,4))))</f>
        <v/>
      </c>
      <c r="I208" s="348">
        <v>3</v>
      </c>
      <c r="J208" s="152"/>
      <c r="K208" s="364"/>
    </row>
    <row r="209" spans="1:11" ht="11.85" customHeight="1">
      <c r="A209" s="115"/>
      <c r="B209" s="402"/>
      <c r="C209" s="108">
        <v>3</v>
      </c>
      <c r="D209" s="351" t="str">
        <f>AwayTeam!$E$22</f>
        <v>Alice Cladwell</v>
      </c>
      <c r="E209" s="352"/>
      <c r="F209" s="212">
        <v>20.87</v>
      </c>
      <c r="G209" s="208">
        <v>3</v>
      </c>
      <c r="H209" s="166">
        <f t="shared" ref="H209:H215" si="18">IF(OR(G209="",G209=5,G209=6, G209=7, G209=8),"",IF(G209=4,1,IF(G209=3,2,IF(G209=2,3,4))))</f>
        <v>2</v>
      </c>
      <c r="I209" s="349"/>
      <c r="J209" s="153"/>
      <c r="K209" s="365"/>
    </row>
    <row r="210" spans="1:11" ht="11.85" customHeight="1">
      <c r="A210" s="115">
        <v>23</v>
      </c>
      <c r="B210" s="402"/>
      <c r="C210" s="108">
        <v>5</v>
      </c>
      <c r="D210" s="351" t="str">
        <f>AwayTeam!$F$22</f>
        <v>Sofie Halcrow</v>
      </c>
      <c r="E210" s="352"/>
      <c r="F210" s="212">
        <v>28.53</v>
      </c>
      <c r="G210" s="208">
        <v>8</v>
      </c>
      <c r="H210" s="166" t="str">
        <f t="shared" si="18"/>
        <v/>
      </c>
      <c r="I210" s="349"/>
      <c r="J210" s="153"/>
      <c r="K210" s="365"/>
    </row>
    <row r="211" spans="1:11" ht="11.85" customHeight="1" thickBot="1">
      <c r="A211" s="115" t="s">
        <v>10</v>
      </c>
      <c r="B211" s="403"/>
      <c r="C211" s="108">
        <v>7</v>
      </c>
      <c r="D211" s="351" t="str">
        <f>AwayTeam!$G$22</f>
        <v>Emma Gallagher</v>
      </c>
      <c r="E211" s="352"/>
      <c r="F211" s="212">
        <v>24.36</v>
      </c>
      <c r="G211" s="208">
        <v>4</v>
      </c>
      <c r="H211" s="166">
        <f t="shared" si="18"/>
        <v>1</v>
      </c>
      <c r="I211" s="350"/>
      <c r="J211" s="154"/>
      <c r="K211" s="366"/>
    </row>
    <row r="212" spans="1:11" ht="11.85" customHeight="1" thickBot="1">
      <c r="A212" s="115" t="s">
        <v>8</v>
      </c>
      <c r="B212" s="404" t="str">
        <f>HomeTeam!$D$2</f>
        <v>Lisburn</v>
      </c>
      <c r="C212" s="108">
        <v>2</v>
      </c>
      <c r="D212" s="351">
        <f>HomeTeam!$D$22</f>
        <v>0</v>
      </c>
      <c r="E212" s="352"/>
      <c r="F212" s="212">
        <v>26.24</v>
      </c>
      <c r="G212" s="208">
        <v>7</v>
      </c>
      <c r="H212" s="166" t="str">
        <f t="shared" si="18"/>
        <v/>
      </c>
      <c r="I212" s="364"/>
      <c r="J212" s="105"/>
      <c r="K212" s="412">
        <v>7</v>
      </c>
    </row>
    <row r="213" spans="1:11" ht="11.85" customHeight="1" thickBot="1">
      <c r="A213" s="115"/>
      <c r="B213" s="402"/>
      <c r="C213" s="108">
        <v>4</v>
      </c>
      <c r="D213" s="351">
        <f>HomeTeam!$E$22</f>
        <v>0</v>
      </c>
      <c r="E213" s="352"/>
      <c r="F213" s="212">
        <v>18.96</v>
      </c>
      <c r="G213" s="208">
        <v>1</v>
      </c>
      <c r="H213" s="166">
        <f t="shared" si="18"/>
        <v>4</v>
      </c>
      <c r="I213" s="365"/>
      <c r="J213" s="105"/>
      <c r="K213" s="413"/>
    </row>
    <row r="214" spans="1:11" ht="11.85" customHeight="1" thickBot="1">
      <c r="A214" s="115"/>
      <c r="B214" s="402"/>
      <c r="C214" s="108">
        <v>6</v>
      </c>
      <c r="D214" s="351">
        <f>HomeTeam!$F$22</f>
        <v>0</v>
      </c>
      <c r="E214" s="352"/>
      <c r="F214" s="212">
        <v>19.149999999999999</v>
      </c>
      <c r="G214" s="208">
        <v>2</v>
      </c>
      <c r="H214" s="166">
        <f t="shared" si="18"/>
        <v>3</v>
      </c>
      <c r="I214" s="365"/>
      <c r="J214" s="105"/>
      <c r="K214" s="413"/>
    </row>
    <row r="215" spans="1:11" ht="11.85" customHeight="1" thickBot="1">
      <c r="A215" s="117"/>
      <c r="B215" s="405"/>
      <c r="C215" s="113">
        <v>8</v>
      </c>
      <c r="D215" s="355">
        <f>HomeTeam!$G$22</f>
        <v>0</v>
      </c>
      <c r="E215" s="356"/>
      <c r="F215" s="213">
        <v>24.21</v>
      </c>
      <c r="G215" s="209">
        <v>5</v>
      </c>
      <c r="H215" s="167" t="str">
        <f t="shared" si="18"/>
        <v/>
      </c>
      <c r="I215" s="366"/>
      <c r="J215" s="105"/>
      <c r="K215" s="414"/>
    </row>
    <row r="216" spans="1:11" ht="11.85" customHeight="1">
      <c r="A216" s="115"/>
      <c r="B216" s="401" t="str">
        <f>AwayTeam!$D$2</f>
        <v>Limavady</v>
      </c>
      <c r="C216" s="103">
        <v>1</v>
      </c>
      <c r="D216" s="416" t="str">
        <f>AwayTeam!$K$22</f>
        <v>Kevin Mc Macken</v>
      </c>
      <c r="E216" s="417"/>
      <c r="F216" s="214">
        <v>20.239999999999998</v>
      </c>
      <c r="G216" s="207">
        <v>2</v>
      </c>
      <c r="H216" s="168">
        <f>IF(OR(G216="",G216=5,G216=6, G216=7, G216=8),"",IF(G216=4,1,IF(G216=3,2,IF(G216=2,3,4))))</f>
        <v>3</v>
      </c>
      <c r="I216" s="348">
        <v>7</v>
      </c>
      <c r="J216" s="152"/>
      <c r="K216" s="364"/>
    </row>
    <row r="217" spans="1:11" ht="11.85" customHeight="1">
      <c r="A217" s="115"/>
      <c r="B217" s="402"/>
      <c r="C217" s="108">
        <v>3</v>
      </c>
      <c r="D217" s="351" t="str">
        <f>AwayTeam!$L$22</f>
        <v>Sam S H</v>
      </c>
      <c r="E217" s="352"/>
      <c r="F217" s="212">
        <v>19.87</v>
      </c>
      <c r="G217" s="208">
        <v>1</v>
      </c>
      <c r="H217" s="166">
        <f t="shared" ref="H217:H223" si="19">IF(OR(G217="",G217=5,G217=6, G217=7, G217=8),"",IF(G217=4,1,IF(G217=3,2,IF(G217=2,3,4))))</f>
        <v>4</v>
      </c>
      <c r="I217" s="349"/>
      <c r="J217" s="153"/>
      <c r="K217" s="365"/>
    </row>
    <row r="218" spans="1:11" ht="11.85" customHeight="1">
      <c r="A218" s="115">
        <v>24</v>
      </c>
      <c r="B218" s="402"/>
      <c r="C218" s="108">
        <v>5</v>
      </c>
      <c r="D218" s="351" t="str">
        <f>AwayTeam!$M$22</f>
        <v>Charlie Whiteside</v>
      </c>
      <c r="E218" s="352"/>
      <c r="F218" s="212">
        <v>35.46</v>
      </c>
      <c r="G218" s="208">
        <v>8</v>
      </c>
      <c r="H218" s="166" t="str">
        <f t="shared" si="19"/>
        <v/>
      </c>
      <c r="I218" s="349"/>
      <c r="J218" s="153"/>
      <c r="K218" s="365"/>
    </row>
    <row r="219" spans="1:11" ht="11.85" customHeight="1" thickBot="1">
      <c r="A219" s="115" t="s">
        <v>10</v>
      </c>
      <c r="B219" s="403"/>
      <c r="C219" s="108">
        <v>7</v>
      </c>
      <c r="D219" s="351" t="str">
        <f>AwayTeam!$N$22</f>
        <v>Otis Irwin</v>
      </c>
      <c r="E219" s="352"/>
      <c r="F219" s="212">
        <v>29.01</v>
      </c>
      <c r="G219" s="208">
        <v>7</v>
      </c>
      <c r="H219" s="166" t="str">
        <f t="shared" si="19"/>
        <v/>
      </c>
      <c r="I219" s="350"/>
      <c r="J219" s="154"/>
      <c r="K219" s="366"/>
    </row>
    <row r="220" spans="1:11" ht="11.85" customHeight="1" thickBot="1">
      <c r="A220" s="115" t="s">
        <v>9</v>
      </c>
      <c r="B220" s="404" t="str">
        <f>HomeTeam!$D$2</f>
        <v>Lisburn</v>
      </c>
      <c r="C220" s="108">
        <v>2</v>
      </c>
      <c r="D220" s="351">
        <f>HomeTeam!$K$22</f>
        <v>0</v>
      </c>
      <c r="E220" s="352"/>
      <c r="F220" s="212">
        <v>24.55</v>
      </c>
      <c r="G220" s="208">
        <v>4</v>
      </c>
      <c r="H220" s="166">
        <f t="shared" si="19"/>
        <v>1</v>
      </c>
      <c r="I220" s="364"/>
      <c r="J220" s="105"/>
      <c r="K220" s="412">
        <v>3</v>
      </c>
    </row>
    <row r="221" spans="1:11" ht="11.85" customHeight="1" thickBot="1">
      <c r="A221" s="115"/>
      <c r="B221" s="402"/>
      <c r="C221" s="108">
        <v>4</v>
      </c>
      <c r="D221" s="351">
        <f>HomeTeam!$L$22</f>
        <v>0</v>
      </c>
      <c r="E221" s="352"/>
      <c r="F221" s="212">
        <v>21.93</v>
      </c>
      <c r="G221" s="208">
        <v>3</v>
      </c>
      <c r="H221" s="166">
        <f t="shared" si="19"/>
        <v>2</v>
      </c>
      <c r="I221" s="365"/>
      <c r="J221" s="105"/>
      <c r="K221" s="413"/>
    </row>
    <row r="222" spans="1:11" ht="11.85" customHeight="1" thickBot="1">
      <c r="A222" s="115"/>
      <c r="B222" s="402"/>
      <c r="C222" s="108">
        <v>6</v>
      </c>
      <c r="D222" s="351">
        <f>HomeTeam!$M$22</f>
        <v>0</v>
      </c>
      <c r="E222" s="352"/>
      <c r="F222" s="212">
        <v>24.61</v>
      </c>
      <c r="G222" s="208">
        <v>5</v>
      </c>
      <c r="H222" s="166" t="str">
        <f t="shared" si="19"/>
        <v/>
      </c>
      <c r="I222" s="365"/>
      <c r="J222" s="105"/>
      <c r="K222" s="413"/>
    </row>
    <row r="223" spans="1:11" ht="11.85" customHeight="1" thickBot="1">
      <c r="A223" s="117"/>
      <c r="B223" s="405"/>
      <c r="C223" s="113">
        <v>8</v>
      </c>
      <c r="D223" s="355">
        <f>HomeTeam!$N$22</f>
        <v>0</v>
      </c>
      <c r="E223" s="356"/>
      <c r="F223" s="213">
        <v>27.58</v>
      </c>
      <c r="G223" s="209">
        <v>6</v>
      </c>
      <c r="H223" s="167" t="str">
        <f t="shared" si="19"/>
        <v/>
      </c>
      <c r="I223" s="366"/>
      <c r="J223" s="105"/>
      <c r="K223" s="414"/>
    </row>
    <row r="224" spans="1:11" ht="11.85" customHeight="1">
      <c r="A224" s="115"/>
      <c r="B224" s="401" t="str">
        <f>AwayTeam!$D$2</f>
        <v>Limavady</v>
      </c>
      <c r="C224" s="103">
        <v>1</v>
      </c>
      <c r="D224" s="379" t="str">
        <f>AwayTeam!$D$23</f>
        <v>Brooke Mc Clamont</v>
      </c>
      <c r="E224" s="380"/>
      <c r="F224" s="214">
        <v>20.18</v>
      </c>
      <c r="G224" s="207">
        <v>3</v>
      </c>
      <c r="H224" s="168">
        <f>IF(OR(G224="",G224=5,G224=6, G224=7, G224=8),"",IF(G224=4,1,IF(G224=3,2,IF(G224=2,3,4))))</f>
        <v>2</v>
      </c>
      <c r="I224" s="348">
        <v>6</v>
      </c>
      <c r="J224" s="152"/>
      <c r="K224" s="364"/>
    </row>
    <row r="225" spans="1:11" ht="11.85" customHeight="1">
      <c r="A225" s="115"/>
      <c r="B225" s="402"/>
      <c r="C225" s="108">
        <v>3</v>
      </c>
      <c r="D225" s="351" t="str">
        <f>AwayTeam!$E$23</f>
        <v>Anna Mc Gookin</v>
      </c>
      <c r="E225" s="352"/>
      <c r="F225" s="212">
        <v>19.09</v>
      </c>
      <c r="G225" s="208">
        <v>1</v>
      </c>
      <c r="H225" s="166">
        <f t="shared" ref="H225:H231" si="20">IF(OR(G225="",G225=5,G225=6, G225=7, G225=8),"",IF(G225=4,1,IF(G225=3,2,IF(G225=2,3,4))))</f>
        <v>4</v>
      </c>
      <c r="I225" s="349"/>
      <c r="J225" s="153"/>
      <c r="K225" s="365"/>
    </row>
    <row r="226" spans="1:11" ht="11.85" customHeight="1">
      <c r="A226" s="115">
        <v>25</v>
      </c>
      <c r="B226" s="402"/>
      <c r="C226" s="108">
        <v>5</v>
      </c>
      <c r="D226" s="351" t="str">
        <f>AwayTeam!$F$23</f>
        <v>Amy Mc Gurk</v>
      </c>
      <c r="E226" s="352"/>
      <c r="F226" s="212">
        <v>20.73</v>
      </c>
      <c r="G226" s="208">
        <v>5</v>
      </c>
      <c r="H226" s="166" t="str">
        <f t="shared" si="20"/>
        <v/>
      </c>
      <c r="I226" s="349"/>
      <c r="J226" s="153"/>
      <c r="K226" s="365"/>
    </row>
    <row r="227" spans="1:11" ht="11.85" customHeight="1" thickBot="1">
      <c r="A227" s="115" t="s">
        <v>11</v>
      </c>
      <c r="B227" s="403"/>
      <c r="C227" s="108">
        <v>7</v>
      </c>
      <c r="D227" s="351" t="str">
        <f>AwayTeam!$G$23</f>
        <v>Evie Connor</v>
      </c>
      <c r="E227" s="352"/>
      <c r="F227" s="212">
        <v>22.75</v>
      </c>
      <c r="G227" s="208">
        <v>8</v>
      </c>
      <c r="H227" s="166" t="str">
        <f t="shared" si="20"/>
        <v/>
      </c>
      <c r="I227" s="350"/>
      <c r="J227" s="154"/>
      <c r="K227" s="366"/>
    </row>
    <row r="228" spans="1:11" ht="11.85" customHeight="1" thickBot="1">
      <c r="A228" s="115" t="s">
        <v>8</v>
      </c>
      <c r="B228" s="404" t="str">
        <f>HomeTeam!$D$2</f>
        <v>Lisburn</v>
      </c>
      <c r="C228" s="108">
        <v>2</v>
      </c>
      <c r="D228" s="351">
        <f>HomeTeam!$D$23</f>
        <v>0</v>
      </c>
      <c r="E228" s="352"/>
      <c r="F228" s="212">
        <v>22.49</v>
      </c>
      <c r="G228" s="208">
        <v>7</v>
      </c>
      <c r="H228" s="166" t="str">
        <f t="shared" si="20"/>
        <v/>
      </c>
      <c r="I228" s="364"/>
      <c r="J228" s="105"/>
      <c r="K228" s="412">
        <v>4</v>
      </c>
    </row>
    <row r="229" spans="1:11" ht="11.85" customHeight="1" thickBot="1">
      <c r="A229" s="115"/>
      <c r="B229" s="402"/>
      <c r="C229" s="108">
        <v>4</v>
      </c>
      <c r="D229" s="351">
        <f>HomeTeam!$E$23</f>
        <v>0</v>
      </c>
      <c r="E229" s="352"/>
      <c r="F229" s="212">
        <v>19.72</v>
      </c>
      <c r="G229" s="208">
        <v>2</v>
      </c>
      <c r="H229" s="166">
        <f t="shared" si="20"/>
        <v>3</v>
      </c>
      <c r="I229" s="365"/>
      <c r="J229" s="105"/>
      <c r="K229" s="413"/>
    </row>
    <row r="230" spans="1:11" ht="11.85" customHeight="1" thickBot="1">
      <c r="A230" s="115"/>
      <c r="B230" s="402"/>
      <c r="C230" s="108">
        <v>6</v>
      </c>
      <c r="D230" s="351">
        <f>HomeTeam!$F$23</f>
        <v>0</v>
      </c>
      <c r="E230" s="352"/>
      <c r="F230" s="212">
        <v>20.61</v>
      </c>
      <c r="G230" s="208">
        <v>4</v>
      </c>
      <c r="H230" s="166">
        <f t="shared" si="20"/>
        <v>1</v>
      </c>
      <c r="I230" s="365"/>
      <c r="J230" s="105"/>
      <c r="K230" s="413"/>
    </row>
    <row r="231" spans="1:11" ht="11.85" customHeight="1" thickBot="1">
      <c r="A231" s="117"/>
      <c r="B231" s="405"/>
      <c r="C231" s="113">
        <v>8</v>
      </c>
      <c r="D231" s="355">
        <f>HomeTeam!$G$23</f>
        <v>0</v>
      </c>
      <c r="E231" s="356"/>
      <c r="F231" s="213">
        <v>21.81</v>
      </c>
      <c r="G231" s="209">
        <v>6</v>
      </c>
      <c r="H231" s="167" t="str">
        <f t="shared" si="20"/>
        <v/>
      </c>
      <c r="I231" s="366"/>
      <c r="J231" s="105"/>
      <c r="K231" s="414"/>
    </row>
    <row r="232" spans="1:11" ht="11.85" customHeight="1">
      <c r="A232" s="115"/>
      <c r="B232" s="401" t="str">
        <f>AwayTeam!$D$2</f>
        <v>Limavady</v>
      </c>
      <c r="C232" s="103">
        <v>1</v>
      </c>
      <c r="D232" s="379" t="str">
        <f>AwayTeam!$K$23</f>
        <v>Oliver Smith</v>
      </c>
      <c r="E232" s="380"/>
      <c r="F232" s="214">
        <v>22.18</v>
      </c>
      <c r="G232" s="207">
        <v>4</v>
      </c>
      <c r="H232" s="168">
        <f>IF(OR(G232="",G232=5,G232=6, G232=7, G232=8),"",IF(G232=4,1,IF(G232=3,2,IF(G232=2,3,4))))</f>
        <v>1</v>
      </c>
      <c r="I232" s="348">
        <v>3</v>
      </c>
      <c r="J232" s="152"/>
      <c r="K232" s="364"/>
    </row>
    <row r="233" spans="1:11" ht="11.85" customHeight="1">
      <c r="A233" s="115"/>
      <c r="B233" s="402"/>
      <c r="C233" s="108">
        <v>3</v>
      </c>
      <c r="D233" s="351" t="str">
        <f>AwayTeam!$L$23</f>
        <v>Cailean Gallagher</v>
      </c>
      <c r="E233" s="352"/>
      <c r="F233" s="212">
        <v>18.87</v>
      </c>
      <c r="G233" s="208">
        <v>3</v>
      </c>
      <c r="H233" s="166">
        <f t="shared" ref="H233:H239" si="21">IF(OR(G233="",G233=5,G233=6, G233=7, G233=8),"",IF(G233=4,1,IF(G233=3,2,IF(G233=2,3,4))))</f>
        <v>2</v>
      </c>
      <c r="I233" s="349"/>
      <c r="J233" s="153"/>
      <c r="K233" s="365"/>
    </row>
    <row r="234" spans="1:11" ht="11.85" customHeight="1">
      <c r="A234" s="115">
        <v>26</v>
      </c>
      <c r="B234" s="402"/>
      <c r="C234" s="108">
        <v>5</v>
      </c>
      <c r="D234" s="351" t="str">
        <f>AwayTeam!$M$23</f>
        <v>Lewis Robinson</v>
      </c>
      <c r="E234" s="352"/>
      <c r="F234" s="212">
        <v>23.67</v>
      </c>
      <c r="G234" s="208">
        <v>7</v>
      </c>
      <c r="H234" s="166" t="str">
        <f t="shared" si="21"/>
        <v/>
      </c>
      <c r="I234" s="349"/>
      <c r="J234" s="153"/>
      <c r="K234" s="365"/>
    </row>
    <row r="235" spans="1:11" ht="11.85" customHeight="1" thickBot="1">
      <c r="A235" s="115" t="s">
        <v>11</v>
      </c>
      <c r="B235" s="403"/>
      <c r="C235" s="108">
        <v>7</v>
      </c>
      <c r="D235" s="351" t="str">
        <f>AwayTeam!$N$23</f>
        <v>Clea Moore</v>
      </c>
      <c r="E235" s="352"/>
      <c r="F235" s="212">
        <v>24.53</v>
      </c>
      <c r="G235" s="208">
        <v>8</v>
      </c>
      <c r="H235" s="166" t="str">
        <f t="shared" si="21"/>
        <v/>
      </c>
      <c r="I235" s="350"/>
      <c r="J235" s="154"/>
      <c r="K235" s="366"/>
    </row>
    <row r="236" spans="1:11" ht="11.85" customHeight="1" thickBot="1">
      <c r="A236" s="115" t="s">
        <v>9</v>
      </c>
      <c r="B236" s="404" t="str">
        <f>HomeTeam!$D$2</f>
        <v>Lisburn</v>
      </c>
      <c r="C236" s="108">
        <v>2</v>
      </c>
      <c r="D236" s="351">
        <f>HomeTeam!$K$23</f>
        <v>0</v>
      </c>
      <c r="E236" s="352"/>
      <c r="F236" s="212">
        <v>21.2</v>
      </c>
      <c r="G236" s="208">
        <v>5</v>
      </c>
      <c r="H236" s="166" t="str">
        <f t="shared" si="21"/>
        <v/>
      </c>
      <c r="I236" s="364"/>
      <c r="J236" s="105"/>
      <c r="K236" s="412">
        <v>7</v>
      </c>
    </row>
    <row r="237" spans="1:11" ht="11.85" customHeight="1" thickBot="1">
      <c r="A237" s="115"/>
      <c r="B237" s="402"/>
      <c r="C237" s="108">
        <v>4</v>
      </c>
      <c r="D237" s="351">
        <f>HomeTeam!$L$23</f>
        <v>0</v>
      </c>
      <c r="E237" s="352"/>
      <c r="F237" s="212">
        <v>15.96</v>
      </c>
      <c r="G237" s="208">
        <v>1</v>
      </c>
      <c r="H237" s="166">
        <f t="shared" si="21"/>
        <v>4</v>
      </c>
      <c r="I237" s="365"/>
      <c r="J237" s="105"/>
      <c r="K237" s="413"/>
    </row>
    <row r="238" spans="1:11" ht="11.85" customHeight="1" thickBot="1">
      <c r="A238" s="115"/>
      <c r="B238" s="402"/>
      <c r="C238" s="108">
        <v>6</v>
      </c>
      <c r="D238" s="351">
        <f>HomeTeam!$M$23</f>
        <v>0</v>
      </c>
      <c r="E238" s="352"/>
      <c r="F238" s="212">
        <v>18.03</v>
      </c>
      <c r="G238" s="208">
        <v>2</v>
      </c>
      <c r="H238" s="166">
        <f t="shared" si="21"/>
        <v>3</v>
      </c>
      <c r="I238" s="365"/>
      <c r="J238" s="105"/>
      <c r="K238" s="413"/>
    </row>
    <row r="239" spans="1:11" ht="11.85" customHeight="1" thickBot="1">
      <c r="A239" s="117"/>
      <c r="B239" s="405"/>
      <c r="C239" s="113">
        <v>8</v>
      </c>
      <c r="D239" s="355">
        <f>HomeTeam!$N$23</f>
        <v>0</v>
      </c>
      <c r="E239" s="356"/>
      <c r="F239" s="213">
        <v>23.13</v>
      </c>
      <c r="G239" s="209">
        <v>6</v>
      </c>
      <c r="H239" s="167" t="str">
        <f t="shared" si="21"/>
        <v/>
      </c>
      <c r="I239" s="366"/>
      <c r="J239" s="105"/>
      <c r="K239" s="414"/>
    </row>
    <row r="240" spans="1:11" ht="11.85" customHeight="1">
      <c r="A240" s="115"/>
      <c r="B240" s="401" t="str">
        <f>AwayTeam!$D$2</f>
        <v>Limavady</v>
      </c>
      <c r="C240" s="103">
        <v>1</v>
      </c>
      <c r="D240" s="379" t="str">
        <f>AwayTeam!$D$24</f>
        <v>Emily Butcher</v>
      </c>
      <c r="E240" s="380"/>
      <c r="F240" s="214">
        <v>18.579999999999998</v>
      </c>
      <c r="G240" s="207">
        <v>4</v>
      </c>
      <c r="H240" s="168">
        <f>IF(OR(G240="",G240=5,G240=6, G240=7, G240=8),"",IF(G240=4,1,IF(G240=3,2,IF(G240=2,3,4))))</f>
        <v>1</v>
      </c>
      <c r="I240" s="348">
        <v>3</v>
      </c>
      <c r="J240" s="152"/>
      <c r="K240" s="364"/>
    </row>
    <row r="241" spans="1:11" ht="11.85" customHeight="1">
      <c r="A241" s="115"/>
      <c r="B241" s="402"/>
      <c r="C241" s="108">
        <v>3</v>
      </c>
      <c r="D241" s="351" t="str">
        <f>AwayTeam!$E$24</f>
        <v>Abbi Craig</v>
      </c>
      <c r="E241" s="352"/>
      <c r="F241" s="212">
        <v>18.32</v>
      </c>
      <c r="G241" s="208">
        <v>3</v>
      </c>
      <c r="H241" s="166">
        <f t="shared" ref="H241:H247" si="22">IF(OR(G241="",G241=5,G241=6, G241=7, G241=8),"",IF(G241=4,1,IF(G241=3,2,IF(G241=2,3,4))))</f>
        <v>2</v>
      </c>
      <c r="I241" s="349"/>
      <c r="J241" s="153"/>
      <c r="K241" s="365"/>
    </row>
    <row r="242" spans="1:11" ht="11.85" customHeight="1">
      <c r="A242" s="115">
        <v>27</v>
      </c>
      <c r="B242" s="402"/>
      <c r="C242" s="108">
        <v>5</v>
      </c>
      <c r="D242" s="351" t="str">
        <f>AwayTeam!$F$24</f>
        <v>Rebecca Sweeney</v>
      </c>
      <c r="E242" s="352"/>
      <c r="F242" s="212">
        <v>25.49</v>
      </c>
      <c r="G242" s="208">
        <v>8</v>
      </c>
      <c r="H242" s="166" t="str">
        <f t="shared" si="22"/>
        <v/>
      </c>
      <c r="I242" s="349"/>
      <c r="J242" s="153"/>
      <c r="K242" s="365"/>
    </row>
    <row r="243" spans="1:11" ht="11.85" customHeight="1" thickBot="1">
      <c r="A243" s="115" t="s">
        <v>12</v>
      </c>
      <c r="B243" s="403"/>
      <c r="C243" s="108">
        <v>7</v>
      </c>
      <c r="D243" s="351" t="str">
        <f>AwayTeam!$G$24</f>
        <v>Rose Mc Laughlin</v>
      </c>
      <c r="E243" s="352"/>
      <c r="F243" s="212">
        <v>23.32</v>
      </c>
      <c r="G243" s="208">
        <v>7</v>
      </c>
      <c r="H243" s="166" t="str">
        <f t="shared" si="22"/>
        <v/>
      </c>
      <c r="I243" s="350"/>
      <c r="J243" s="154"/>
      <c r="K243" s="366"/>
    </row>
    <row r="244" spans="1:11" ht="11.85" customHeight="1" thickBot="1">
      <c r="A244" s="115" t="s">
        <v>8</v>
      </c>
      <c r="B244" s="404" t="str">
        <f>HomeTeam!$D$2</f>
        <v>Lisburn</v>
      </c>
      <c r="C244" s="108">
        <v>2</v>
      </c>
      <c r="D244" s="351">
        <f>HomeTeam!$D$24</f>
        <v>0</v>
      </c>
      <c r="E244" s="352"/>
      <c r="F244" s="212">
        <v>17.2</v>
      </c>
      <c r="G244" s="208">
        <v>5</v>
      </c>
      <c r="H244" s="166" t="str">
        <f t="shared" si="22"/>
        <v/>
      </c>
      <c r="I244" s="364"/>
      <c r="J244" s="105"/>
      <c r="K244" s="412">
        <v>7</v>
      </c>
    </row>
    <row r="245" spans="1:11" ht="11.85" customHeight="1" thickBot="1">
      <c r="A245" s="115"/>
      <c r="B245" s="402"/>
      <c r="C245" s="108">
        <v>4</v>
      </c>
      <c r="D245" s="351">
        <f>HomeTeam!$E$24</f>
        <v>0</v>
      </c>
      <c r="E245" s="352"/>
      <c r="F245" s="212">
        <v>15.5</v>
      </c>
      <c r="G245" s="208">
        <v>1</v>
      </c>
      <c r="H245" s="166">
        <f t="shared" si="22"/>
        <v>4</v>
      </c>
      <c r="I245" s="365"/>
      <c r="J245" s="105"/>
      <c r="K245" s="413"/>
    </row>
    <row r="246" spans="1:11" ht="11.85" customHeight="1" thickBot="1">
      <c r="A246" s="115"/>
      <c r="B246" s="402"/>
      <c r="C246" s="108">
        <v>6</v>
      </c>
      <c r="D246" s="351">
        <f>HomeTeam!$F$24</f>
        <v>0</v>
      </c>
      <c r="E246" s="352"/>
      <c r="F246" s="212">
        <v>16.36</v>
      </c>
      <c r="G246" s="208">
        <v>2</v>
      </c>
      <c r="H246" s="166">
        <f t="shared" si="22"/>
        <v>3</v>
      </c>
      <c r="I246" s="365"/>
      <c r="J246" s="105"/>
      <c r="K246" s="413"/>
    </row>
    <row r="247" spans="1:11" ht="11.85" customHeight="1" thickBot="1">
      <c r="A247" s="117"/>
      <c r="B247" s="405"/>
      <c r="C247" s="113">
        <v>8</v>
      </c>
      <c r="D247" s="355">
        <f>HomeTeam!$G$24</f>
        <v>0</v>
      </c>
      <c r="E247" s="356"/>
      <c r="F247" s="213">
        <v>17.84</v>
      </c>
      <c r="G247" s="209">
        <v>6</v>
      </c>
      <c r="H247" s="167" t="str">
        <f t="shared" si="22"/>
        <v/>
      </c>
      <c r="I247" s="366"/>
      <c r="J247" s="105"/>
      <c r="K247" s="414"/>
    </row>
    <row r="248" spans="1:11" ht="11.85" customHeight="1">
      <c r="A248" s="115"/>
      <c r="B248" s="401" t="str">
        <f>AwayTeam!$D$2</f>
        <v>Limavady</v>
      </c>
      <c r="C248" s="103">
        <v>1</v>
      </c>
      <c r="D248" s="379" t="str">
        <f>AwayTeam!$K$24</f>
        <v>Joshua Hunt</v>
      </c>
      <c r="E248" s="380"/>
      <c r="F248" s="214">
        <v>19.13</v>
      </c>
      <c r="G248" s="207">
        <v>4</v>
      </c>
      <c r="H248" s="168">
        <f>IF(OR(G248="",G248=5,G248=6, G248=7, G248=8),"",IF(G248=4,1,IF(G248=3,2,IF(G248=2,3,4))))</f>
        <v>1</v>
      </c>
      <c r="I248" s="348">
        <v>3</v>
      </c>
      <c r="J248" s="152"/>
      <c r="K248" s="364"/>
    </row>
    <row r="249" spans="1:11" ht="11.85" customHeight="1">
      <c r="A249" s="115"/>
      <c r="B249" s="402"/>
      <c r="C249" s="103">
        <v>3</v>
      </c>
      <c r="D249" s="351" t="str">
        <f>AwayTeam!$L$24</f>
        <v>Alex Whiteside</v>
      </c>
      <c r="E249" s="352"/>
      <c r="F249" s="214">
        <v>19.27</v>
      </c>
      <c r="G249" s="210">
        <v>3</v>
      </c>
      <c r="H249" s="166">
        <f t="shared" ref="H249:H255" si="23">IF(OR(G249="",G249=5,G249=6, G249=7, G249=8),"",IF(G249=4,1,IF(G249=3,2,IF(G249=2,3,4))))</f>
        <v>2</v>
      </c>
      <c r="I249" s="349"/>
      <c r="J249" s="153"/>
      <c r="K249" s="365"/>
    </row>
    <row r="250" spans="1:11" ht="11.85" customHeight="1">
      <c r="A250" s="115">
        <v>28</v>
      </c>
      <c r="B250" s="402"/>
      <c r="C250" s="108">
        <v>5</v>
      </c>
      <c r="D250" s="351" t="str">
        <f>AwayTeam!$M$24</f>
        <v>Jude Williams</v>
      </c>
      <c r="E250" s="352"/>
      <c r="F250" s="212">
        <v>26.67</v>
      </c>
      <c r="G250" s="208">
        <v>8</v>
      </c>
      <c r="H250" s="166" t="str">
        <f t="shared" si="23"/>
        <v/>
      </c>
      <c r="I250" s="349"/>
      <c r="J250" s="153"/>
      <c r="K250" s="365"/>
    </row>
    <row r="251" spans="1:11" ht="11.85" customHeight="1" thickBot="1">
      <c r="A251" s="115" t="s">
        <v>12</v>
      </c>
      <c r="B251" s="403"/>
      <c r="C251" s="108">
        <v>7</v>
      </c>
      <c r="D251" s="351" t="str">
        <f>AwayTeam!$N$24</f>
        <v>Ben Dinsmore</v>
      </c>
      <c r="E251" s="352"/>
      <c r="F251" s="212">
        <v>22.33</v>
      </c>
      <c r="G251" s="208">
        <v>7</v>
      </c>
      <c r="H251" s="166" t="str">
        <f t="shared" si="23"/>
        <v/>
      </c>
      <c r="I251" s="350"/>
      <c r="J251" s="154"/>
      <c r="K251" s="366"/>
    </row>
    <row r="252" spans="1:11" ht="11.85" customHeight="1" thickBot="1">
      <c r="A252" s="115" t="s">
        <v>9</v>
      </c>
      <c r="B252" s="404" t="str">
        <f>HomeTeam!$D$2</f>
        <v>Lisburn</v>
      </c>
      <c r="C252" s="108">
        <v>2</v>
      </c>
      <c r="D252" s="351">
        <f>HomeTeam!$K$24</f>
        <v>0</v>
      </c>
      <c r="E252" s="352"/>
      <c r="F252" s="212">
        <v>17.809999999999999</v>
      </c>
      <c r="G252" s="208">
        <v>5</v>
      </c>
      <c r="H252" s="166" t="str">
        <f t="shared" si="23"/>
        <v/>
      </c>
      <c r="I252" s="364"/>
      <c r="J252" s="105"/>
      <c r="K252" s="412">
        <v>7</v>
      </c>
    </row>
    <row r="253" spans="1:11" ht="11.85" customHeight="1" thickBot="1">
      <c r="A253" s="115"/>
      <c r="B253" s="402"/>
      <c r="C253" s="108">
        <v>4</v>
      </c>
      <c r="D253" s="351">
        <f>HomeTeam!$L$24</f>
        <v>0</v>
      </c>
      <c r="E253" s="352"/>
      <c r="F253" s="212">
        <v>15.86</v>
      </c>
      <c r="G253" s="208">
        <v>1</v>
      </c>
      <c r="H253" s="166">
        <f t="shared" si="23"/>
        <v>4</v>
      </c>
      <c r="I253" s="365"/>
      <c r="J253" s="105"/>
      <c r="K253" s="413"/>
    </row>
    <row r="254" spans="1:11" ht="11.85" customHeight="1" thickBot="1">
      <c r="A254" s="115"/>
      <c r="B254" s="402"/>
      <c r="C254" s="108">
        <v>6</v>
      </c>
      <c r="D254" s="351">
        <f>HomeTeam!$M$24</f>
        <v>0</v>
      </c>
      <c r="E254" s="352"/>
      <c r="F254" s="212">
        <v>18.07</v>
      </c>
      <c r="G254" s="208">
        <v>2</v>
      </c>
      <c r="H254" s="166">
        <f t="shared" si="23"/>
        <v>3</v>
      </c>
      <c r="I254" s="365"/>
      <c r="J254" s="105"/>
      <c r="K254" s="413"/>
    </row>
    <row r="255" spans="1:11" ht="11.85" customHeight="1" thickBot="1">
      <c r="A255" s="117"/>
      <c r="B255" s="405"/>
      <c r="C255" s="113">
        <v>8</v>
      </c>
      <c r="D255" s="355">
        <f>HomeTeam!$N$24</f>
        <v>0</v>
      </c>
      <c r="E255" s="356"/>
      <c r="F255" s="213">
        <v>19.18</v>
      </c>
      <c r="G255" s="209">
        <v>6</v>
      </c>
      <c r="H255" s="167" t="str">
        <f t="shared" si="23"/>
        <v/>
      </c>
      <c r="I255" s="366"/>
      <c r="J255" s="105"/>
      <c r="K255" s="414"/>
    </row>
    <row r="256" spans="1:11" ht="11.85" customHeight="1">
      <c r="A256" s="118"/>
      <c r="B256" s="119"/>
      <c r="C256" s="119"/>
      <c r="D256" s="120"/>
      <c r="E256" s="120"/>
      <c r="F256" s="169"/>
      <c r="G256" s="121" t="s">
        <v>13</v>
      </c>
      <c r="H256" s="170"/>
      <c r="I256" s="122">
        <f>SUM(I192,I200,I208,I216,I224,I232,I240,I248)</f>
        <v>35</v>
      </c>
      <c r="J256" s="121"/>
      <c r="K256" s="105">
        <f>SUM(K196,K204,K212,K220,K228,K236,K244,K252)</f>
        <v>45</v>
      </c>
    </row>
    <row r="257" spans="1:11" ht="11.85" customHeight="1">
      <c r="A257" s="118"/>
      <c r="B257" s="119"/>
      <c r="C257" s="119"/>
      <c r="D257" s="120"/>
      <c r="E257" s="120"/>
      <c r="F257" s="119"/>
      <c r="G257" s="119" t="s">
        <v>14</v>
      </c>
      <c r="H257" s="119"/>
      <c r="I257" s="123">
        <f>I187</f>
        <v>88</v>
      </c>
      <c r="J257" s="124"/>
      <c r="K257" s="133">
        <f>K187</f>
        <v>112</v>
      </c>
    </row>
    <row r="258" spans="1:11" ht="11.85" customHeight="1" thickBot="1">
      <c r="A258" s="125"/>
      <c r="B258" s="126"/>
      <c r="C258" s="126"/>
      <c r="D258" s="127"/>
      <c r="E258" s="127"/>
      <c r="F258" s="126"/>
      <c r="G258" s="126" t="s">
        <v>18</v>
      </c>
      <c r="H258" s="126"/>
      <c r="I258" s="128">
        <f>SUM(I256:I257)</f>
        <v>123</v>
      </c>
      <c r="J258" s="126"/>
      <c r="K258" s="134">
        <f>SUM(K256:K257)</f>
        <v>157</v>
      </c>
    </row>
    <row r="259" spans="1:11" ht="5.25" customHeight="1"/>
    <row r="260" spans="1:11" ht="12" customHeight="1">
      <c r="A260" s="411" t="s">
        <v>23</v>
      </c>
      <c r="B260" s="411"/>
      <c r="C260" s="411"/>
      <c r="D260" s="411"/>
      <c r="E260" s="411"/>
      <c r="F260" s="411"/>
      <c r="G260" s="411"/>
      <c r="H260" s="411"/>
      <c r="I260" s="411"/>
      <c r="J260" s="411"/>
      <c r="K260" s="411"/>
    </row>
    <row r="261" spans="1:11" ht="4.5" customHeight="1" thickBot="1"/>
    <row r="262" spans="1:11" ht="11.85" customHeight="1" thickBot="1">
      <c r="A262" s="100" t="s">
        <v>0</v>
      </c>
      <c r="B262" s="101" t="s">
        <v>1</v>
      </c>
      <c r="C262" s="101" t="s">
        <v>2</v>
      </c>
      <c r="D262" s="353" t="s">
        <v>3</v>
      </c>
      <c r="E262" s="354"/>
      <c r="F262" s="206" t="s">
        <v>4</v>
      </c>
      <c r="G262" s="215" t="s">
        <v>5</v>
      </c>
      <c r="H262" s="206" t="s">
        <v>6</v>
      </c>
      <c r="I262" s="398" t="s">
        <v>6</v>
      </c>
      <c r="J262" s="399"/>
      <c r="K262" s="400"/>
    </row>
    <row r="263" spans="1:11" ht="11.85" customHeight="1">
      <c r="A263" s="102"/>
      <c r="B263" s="401" t="str">
        <f>AwayTeam!$D$2</f>
        <v>Limavady</v>
      </c>
      <c r="C263" s="103">
        <v>1</v>
      </c>
      <c r="D263" s="379" t="str">
        <f>AwayTeam!$D$25</f>
        <v>Fiona O Neill</v>
      </c>
      <c r="E263" s="380"/>
      <c r="F263" s="211">
        <v>23.27</v>
      </c>
      <c r="G263" s="207">
        <v>3</v>
      </c>
      <c r="H263" s="168">
        <f>IF(OR(G263="",G263=5,G263=6, G263=7, G263=8),"",IF(G263=4,1,IF(G263=3,2,IF(G263=2,3,4))))</f>
        <v>2</v>
      </c>
      <c r="I263" s="348">
        <v>6</v>
      </c>
      <c r="J263" s="152"/>
      <c r="K263" s="364"/>
    </row>
    <row r="264" spans="1:11" ht="11.85" customHeight="1">
      <c r="A264" s="107"/>
      <c r="B264" s="402"/>
      <c r="C264" s="108">
        <v>3</v>
      </c>
      <c r="D264" s="351" t="str">
        <f>AwayTeam!$E$25</f>
        <v>Miya Mc Clamont</v>
      </c>
      <c r="E264" s="352"/>
      <c r="F264" s="212">
        <v>17.95</v>
      </c>
      <c r="G264" s="208">
        <v>1</v>
      </c>
      <c r="H264" s="166">
        <f t="shared" ref="H264:H270" si="24">IF(OR(G264="",G264=5,G264=6, G264=7, G264=8),"",IF(G264=4,1,IF(G264=3,2,IF(G264=2,3,4))))</f>
        <v>4</v>
      </c>
      <c r="I264" s="349"/>
      <c r="J264" s="153"/>
      <c r="K264" s="365"/>
    </row>
    <row r="265" spans="1:11" ht="11.85" customHeight="1">
      <c r="A265" s="107">
        <v>29</v>
      </c>
      <c r="B265" s="402"/>
      <c r="C265" s="108">
        <v>5</v>
      </c>
      <c r="D265" s="351" t="str">
        <f>AwayTeam!$F$25</f>
        <v>Caelyn O Connor</v>
      </c>
      <c r="E265" s="352"/>
      <c r="F265" s="212">
        <v>24.81</v>
      </c>
      <c r="G265" s="208">
        <v>5</v>
      </c>
      <c r="H265" s="166" t="str">
        <f t="shared" si="24"/>
        <v/>
      </c>
      <c r="I265" s="349"/>
      <c r="J265" s="153"/>
      <c r="K265" s="365"/>
    </row>
    <row r="266" spans="1:11" ht="11.85" customHeight="1" thickBot="1">
      <c r="A266" s="107" t="s">
        <v>7</v>
      </c>
      <c r="B266" s="403"/>
      <c r="C266" s="108">
        <v>7</v>
      </c>
      <c r="D266" s="351" t="str">
        <f>AwayTeam!$G$25</f>
        <v>Isobella Mc Carron</v>
      </c>
      <c r="E266" s="352"/>
      <c r="F266" s="212">
        <v>25.9</v>
      </c>
      <c r="G266" s="208">
        <v>6</v>
      </c>
      <c r="H266" s="166" t="str">
        <f t="shared" si="24"/>
        <v/>
      </c>
      <c r="I266" s="350"/>
      <c r="J266" s="154"/>
      <c r="K266" s="366"/>
    </row>
    <row r="267" spans="1:11" ht="11.85" customHeight="1" thickBot="1">
      <c r="A267" s="107" t="s">
        <v>8</v>
      </c>
      <c r="B267" s="402" t="str">
        <f>HomeTeam!$D$2</f>
        <v>Lisburn</v>
      </c>
      <c r="C267" s="108">
        <v>2</v>
      </c>
      <c r="D267" s="351">
        <f>HomeTeam!$D$25</f>
        <v>0</v>
      </c>
      <c r="E267" s="352"/>
      <c r="F267" s="212">
        <v>26.72</v>
      </c>
      <c r="G267" s="208">
        <v>4</v>
      </c>
      <c r="H267" s="166">
        <f t="shared" si="24"/>
        <v>1</v>
      </c>
      <c r="I267" s="364"/>
      <c r="J267" s="105"/>
      <c r="K267" s="412">
        <v>4</v>
      </c>
    </row>
    <row r="268" spans="1:11" ht="11.85" customHeight="1" thickBot="1">
      <c r="A268" s="107"/>
      <c r="B268" s="402"/>
      <c r="C268" s="108">
        <v>4</v>
      </c>
      <c r="D268" s="351">
        <f>HomeTeam!$E$25</f>
        <v>0</v>
      </c>
      <c r="E268" s="352"/>
      <c r="F268" s="212">
        <v>26.47</v>
      </c>
      <c r="G268" s="208">
        <v>7</v>
      </c>
      <c r="H268" s="166" t="str">
        <f t="shared" si="24"/>
        <v/>
      </c>
      <c r="I268" s="365"/>
      <c r="J268" s="105"/>
      <c r="K268" s="413"/>
    </row>
    <row r="269" spans="1:11" ht="11.85" customHeight="1" thickBot="1">
      <c r="A269" s="107"/>
      <c r="B269" s="402"/>
      <c r="C269" s="108">
        <v>6</v>
      </c>
      <c r="D269" s="351">
        <f>HomeTeam!$F$25</f>
        <v>0</v>
      </c>
      <c r="E269" s="352"/>
      <c r="F269" s="212">
        <v>21.06</v>
      </c>
      <c r="G269" s="208">
        <v>2</v>
      </c>
      <c r="H269" s="166">
        <f t="shared" si="24"/>
        <v>3</v>
      </c>
      <c r="I269" s="365"/>
      <c r="J269" s="105"/>
      <c r="K269" s="413"/>
    </row>
    <row r="270" spans="1:11" ht="11.85" customHeight="1" thickBot="1">
      <c r="A270" s="112"/>
      <c r="B270" s="405"/>
      <c r="C270" s="113">
        <v>8</v>
      </c>
      <c r="D270" s="355">
        <f>HomeTeam!$G$25</f>
        <v>0</v>
      </c>
      <c r="E270" s="356"/>
      <c r="F270" s="213">
        <v>28.27</v>
      </c>
      <c r="G270" s="209">
        <v>8</v>
      </c>
      <c r="H270" s="167" t="str">
        <f t="shared" si="24"/>
        <v/>
      </c>
      <c r="I270" s="366"/>
      <c r="J270" s="105"/>
      <c r="K270" s="414"/>
    </row>
    <row r="271" spans="1:11" ht="11.85" customHeight="1">
      <c r="A271" s="115"/>
      <c r="B271" s="401" t="str">
        <f>AwayTeam!$D$2</f>
        <v>Limavady</v>
      </c>
      <c r="C271" s="103">
        <v>1</v>
      </c>
      <c r="D271" s="379" t="str">
        <f>AwayTeam!$K$25</f>
        <v>Harry Butcher</v>
      </c>
      <c r="E271" s="380"/>
      <c r="F271" s="214">
        <v>25.27</v>
      </c>
      <c r="G271" s="210">
        <v>7</v>
      </c>
      <c r="H271" s="168" t="str">
        <f>IF(OR(G271="",G271=5,G271=6, G271=7, G271=8),"",IF(G271=4,1,IF(G271=3,2,IF(G271=2,3,4))))</f>
        <v/>
      </c>
      <c r="I271" s="348">
        <v>3</v>
      </c>
      <c r="J271" s="152"/>
      <c r="K271" s="364"/>
    </row>
    <row r="272" spans="1:11" ht="11.85" customHeight="1">
      <c r="A272" s="115"/>
      <c r="B272" s="402"/>
      <c r="C272" s="108">
        <v>3</v>
      </c>
      <c r="D272" s="351" t="str">
        <f>AwayTeam!$L$25</f>
        <v>Tom Cormie</v>
      </c>
      <c r="E272" s="352"/>
      <c r="F272" s="212">
        <v>22.21</v>
      </c>
      <c r="G272" s="208">
        <v>3</v>
      </c>
      <c r="H272" s="166">
        <f t="shared" ref="H272:H278" si="25">IF(OR(G272="",G272=5,G272=6, G272=7, G272=8),"",IF(G272=4,1,IF(G272=3,2,IF(G272=2,3,4))))</f>
        <v>2</v>
      </c>
      <c r="I272" s="349"/>
      <c r="J272" s="153"/>
      <c r="K272" s="365"/>
    </row>
    <row r="273" spans="1:11" ht="11.85" customHeight="1">
      <c r="A273" s="115">
        <v>30</v>
      </c>
      <c r="B273" s="402"/>
      <c r="C273" s="108">
        <v>5</v>
      </c>
      <c r="D273" s="351" t="str">
        <f>AwayTeam!$M$25</f>
        <v>Jamie Mellon</v>
      </c>
      <c r="E273" s="352"/>
      <c r="F273" s="212">
        <v>24.21</v>
      </c>
      <c r="G273" s="208">
        <v>4</v>
      </c>
      <c r="H273" s="166">
        <f t="shared" si="25"/>
        <v>1</v>
      </c>
      <c r="I273" s="349"/>
      <c r="J273" s="153"/>
      <c r="K273" s="365"/>
    </row>
    <row r="274" spans="1:11" ht="11.85" customHeight="1" thickBot="1">
      <c r="A274" s="115" t="s">
        <v>7</v>
      </c>
      <c r="B274" s="403"/>
      <c r="C274" s="108">
        <v>7</v>
      </c>
      <c r="D274" s="351" t="str">
        <f>AwayTeam!$N$25</f>
        <v>Ollie Mc Mc Macken</v>
      </c>
      <c r="E274" s="352"/>
      <c r="F274" s="212">
        <v>25.44</v>
      </c>
      <c r="G274" s="208">
        <v>6</v>
      </c>
      <c r="H274" s="166" t="str">
        <f t="shared" si="25"/>
        <v/>
      </c>
      <c r="I274" s="350"/>
      <c r="J274" s="154"/>
      <c r="K274" s="366"/>
    </row>
    <row r="275" spans="1:11" ht="11.85" customHeight="1" thickBot="1">
      <c r="A275" s="115" t="s">
        <v>9</v>
      </c>
      <c r="B275" s="404" t="str">
        <f>HomeTeam!$D$2</f>
        <v>Lisburn</v>
      </c>
      <c r="C275" s="108">
        <v>2</v>
      </c>
      <c r="D275" s="351">
        <f>HomeTeam!$K$25</f>
        <v>0</v>
      </c>
      <c r="E275" s="352"/>
      <c r="F275" s="212">
        <v>28.06</v>
      </c>
      <c r="G275" s="208">
        <v>8</v>
      </c>
      <c r="H275" s="166" t="str">
        <f t="shared" si="25"/>
        <v/>
      </c>
      <c r="I275" s="364"/>
      <c r="J275" s="105"/>
      <c r="K275" s="412">
        <v>7</v>
      </c>
    </row>
    <row r="276" spans="1:11" ht="11.85" customHeight="1" thickBot="1">
      <c r="A276" s="115"/>
      <c r="B276" s="402"/>
      <c r="C276" s="108">
        <v>4</v>
      </c>
      <c r="D276" s="351">
        <f>HomeTeam!$L$25</f>
        <v>0</v>
      </c>
      <c r="E276" s="352"/>
      <c r="F276" s="212">
        <v>17.3</v>
      </c>
      <c r="G276" s="208">
        <v>1</v>
      </c>
      <c r="H276" s="166">
        <f t="shared" si="25"/>
        <v>4</v>
      </c>
      <c r="I276" s="365"/>
      <c r="J276" s="105"/>
      <c r="K276" s="413"/>
    </row>
    <row r="277" spans="1:11" ht="11.85" customHeight="1" thickBot="1">
      <c r="A277" s="115"/>
      <c r="B277" s="402"/>
      <c r="C277" s="108">
        <v>6</v>
      </c>
      <c r="D277" s="351">
        <f>HomeTeam!$M$25</f>
        <v>0</v>
      </c>
      <c r="E277" s="352"/>
      <c r="F277" s="212">
        <v>19.100000000000001</v>
      </c>
      <c r="G277" s="208">
        <v>2</v>
      </c>
      <c r="H277" s="166">
        <f t="shared" si="25"/>
        <v>3</v>
      </c>
      <c r="I277" s="365"/>
      <c r="J277" s="105"/>
      <c r="K277" s="413"/>
    </row>
    <row r="278" spans="1:11" ht="11.85" customHeight="1" thickBot="1">
      <c r="A278" s="117"/>
      <c r="B278" s="405"/>
      <c r="C278" s="113">
        <v>8</v>
      </c>
      <c r="D278" s="355">
        <f>HomeTeam!$N$25</f>
        <v>0</v>
      </c>
      <c r="E278" s="356"/>
      <c r="F278" s="213">
        <v>20.87</v>
      </c>
      <c r="G278" s="209">
        <v>5</v>
      </c>
      <c r="H278" s="167" t="str">
        <f t="shared" si="25"/>
        <v/>
      </c>
      <c r="I278" s="366"/>
      <c r="J278" s="105"/>
      <c r="K278" s="414"/>
    </row>
    <row r="279" spans="1:11" ht="11.85" customHeight="1">
      <c r="A279" s="115"/>
      <c r="B279" s="401" t="str">
        <f>AwayTeam!$D$2</f>
        <v>Limavady</v>
      </c>
      <c r="C279" s="103">
        <v>1</v>
      </c>
      <c r="D279" s="379" t="str">
        <f>AwayTeam!$D$26</f>
        <v>Eva Campbell</v>
      </c>
      <c r="E279" s="380"/>
      <c r="F279" s="214">
        <v>19.66</v>
      </c>
      <c r="G279" s="207">
        <v>4</v>
      </c>
      <c r="H279" s="168">
        <f>IF(OR(G279="",G279=5,G279=6, G279=7, G279=8),"",IF(G279=4,1,IF(G279=3,2,IF(G279=2,3,4))))</f>
        <v>1</v>
      </c>
      <c r="I279" s="348">
        <v>4</v>
      </c>
      <c r="J279" s="152"/>
      <c r="K279" s="364"/>
    </row>
    <row r="280" spans="1:11" ht="11.85" customHeight="1">
      <c r="A280" s="115"/>
      <c r="B280" s="402"/>
      <c r="C280" s="108">
        <v>3</v>
      </c>
      <c r="D280" s="351" t="str">
        <f>AwayTeam!$E$26</f>
        <v>Alice Cladwell</v>
      </c>
      <c r="E280" s="352"/>
      <c r="F280" s="212">
        <v>17.5</v>
      </c>
      <c r="G280" s="208">
        <v>2</v>
      </c>
      <c r="H280" s="166">
        <f t="shared" ref="H280:H286" si="26">IF(OR(G280="",G280=5,G280=6, G280=7, G280=8),"",IF(G280=4,1,IF(G280=3,2,IF(G280=2,3,4))))</f>
        <v>3</v>
      </c>
      <c r="I280" s="349"/>
      <c r="J280" s="153"/>
      <c r="K280" s="365"/>
    </row>
    <row r="281" spans="1:11" ht="11.85" customHeight="1">
      <c r="A281" s="115">
        <v>31</v>
      </c>
      <c r="B281" s="402"/>
      <c r="C281" s="108">
        <v>5</v>
      </c>
      <c r="D281" s="351" t="str">
        <f>AwayTeam!$F$26</f>
        <v>Emma Gallagher</v>
      </c>
      <c r="E281" s="352"/>
      <c r="F281" s="212">
        <v>20.059999999999999</v>
      </c>
      <c r="G281" s="208">
        <v>7</v>
      </c>
      <c r="H281" s="166" t="str">
        <f t="shared" si="26"/>
        <v/>
      </c>
      <c r="I281" s="349"/>
      <c r="J281" s="153"/>
      <c r="K281" s="365"/>
    </row>
    <row r="282" spans="1:11" ht="11.85" customHeight="1" thickBot="1">
      <c r="A282" s="115" t="s">
        <v>10</v>
      </c>
      <c r="B282" s="403"/>
      <c r="C282" s="108">
        <v>7</v>
      </c>
      <c r="D282" s="351" t="str">
        <f>AwayTeam!$G$26</f>
        <v>Sofie Halcrow</v>
      </c>
      <c r="E282" s="352"/>
      <c r="F282" s="212">
        <v>21.44</v>
      </c>
      <c r="G282" s="208">
        <v>8</v>
      </c>
      <c r="H282" s="166" t="str">
        <f t="shared" si="26"/>
        <v/>
      </c>
      <c r="I282" s="350"/>
      <c r="J282" s="154"/>
      <c r="K282" s="366"/>
    </row>
    <row r="283" spans="1:11" ht="11.85" customHeight="1" thickBot="1">
      <c r="A283" s="115" t="s">
        <v>8</v>
      </c>
      <c r="B283" s="404" t="str">
        <f>HomeTeam!$D$2</f>
        <v>Lisburn</v>
      </c>
      <c r="C283" s="108">
        <v>2</v>
      </c>
      <c r="D283" s="351">
        <f>HomeTeam!$D$26</f>
        <v>0</v>
      </c>
      <c r="E283" s="352"/>
      <c r="F283" s="212">
        <v>17.690000000000001</v>
      </c>
      <c r="G283" s="208">
        <v>5</v>
      </c>
      <c r="H283" s="166" t="str">
        <f t="shared" si="26"/>
        <v/>
      </c>
      <c r="I283" s="364"/>
      <c r="J283" s="105"/>
      <c r="K283" s="412">
        <v>6</v>
      </c>
    </row>
    <row r="284" spans="1:11" ht="11.85" customHeight="1" thickBot="1">
      <c r="A284" s="115"/>
      <c r="B284" s="402"/>
      <c r="C284" s="108">
        <v>4</v>
      </c>
      <c r="D284" s="351">
        <f>HomeTeam!$E$26</f>
        <v>0</v>
      </c>
      <c r="E284" s="352"/>
      <c r="F284" s="212">
        <v>16.32</v>
      </c>
      <c r="G284" s="208">
        <v>1</v>
      </c>
      <c r="H284" s="166">
        <f t="shared" si="26"/>
        <v>4</v>
      </c>
      <c r="I284" s="365"/>
      <c r="J284" s="105"/>
      <c r="K284" s="413"/>
    </row>
    <row r="285" spans="1:11" ht="11.85" customHeight="1" thickBot="1">
      <c r="A285" s="115"/>
      <c r="B285" s="402"/>
      <c r="C285" s="108">
        <v>6</v>
      </c>
      <c r="D285" s="351">
        <f>HomeTeam!$F$26</f>
        <v>0</v>
      </c>
      <c r="E285" s="352"/>
      <c r="F285" s="212">
        <v>17.55</v>
      </c>
      <c r="G285" s="208">
        <v>3</v>
      </c>
      <c r="H285" s="166">
        <f t="shared" si="26"/>
        <v>2</v>
      </c>
      <c r="I285" s="365"/>
      <c r="J285" s="105"/>
      <c r="K285" s="413"/>
    </row>
    <row r="286" spans="1:11" ht="11.85" customHeight="1" thickBot="1">
      <c r="A286" s="117"/>
      <c r="B286" s="405"/>
      <c r="C286" s="113">
        <v>8</v>
      </c>
      <c r="D286" s="355">
        <f>HomeTeam!$G$26</f>
        <v>0</v>
      </c>
      <c r="E286" s="356"/>
      <c r="F286" s="213">
        <v>18.760000000000002</v>
      </c>
      <c r="G286" s="209">
        <v>6</v>
      </c>
      <c r="H286" s="167" t="str">
        <f t="shared" si="26"/>
        <v/>
      </c>
      <c r="I286" s="366"/>
      <c r="J286" s="105"/>
      <c r="K286" s="414"/>
    </row>
    <row r="287" spans="1:11" ht="11.85" customHeight="1">
      <c r="A287" s="115"/>
      <c r="B287" s="401" t="str">
        <f>AwayTeam!$D$2</f>
        <v>Limavady</v>
      </c>
      <c r="C287" s="103">
        <v>1</v>
      </c>
      <c r="D287" s="416" t="str">
        <f>AwayTeam!$K$26</f>
        <v>Kevin Mc Macken</v>
      </c>
      <c r="E287" s="417"/>
      <c r="F287" s="214">
        <v>16.73</v>
      </c>
      <c r="G287" s="207">
        <v>1</v>
      </c>
      <c r="H287" s="168">
        <f>IF(OR(G287="",G287=5,G287=6, G287=7, G287=8),"",IF(G287=4,1,IF(G287=3,2,IF(G287=2,3,4))))</f>
        <v>4</v>
      </c>
      <c r="I287" s="348">
        <v>7</v>
      </c>
      <c r="J287" s="152"/>
      <c r="K287" s="364"/>
    </row>
    <row r="288" spans="1:11" ht="11.85" customHeight="1">
      <c r="A288" s="115"/>
      <c r="B288" s="402"/>
      <c r="C288" s="108">
        <v>3</v>
      </c>
      <c r="D288" s="351" t="str">
        <f>AwayTeam!$L$26</f>
        <v>Sam S H</v>
      </c>
      <c r="E288" s="352"/>
      <c r="F288" s="212">
        <v>17.78</v>
      </c>
      <c r="G288" s="208">
        <v>2</v>
      </c>
      <c r="H288" s="166">
        <f t="shared" ref="H288:H294" si="27">IF(OR(G288="",G288=5,G288=6, G288=7, G288=8),"",IF(G288=4,1,IF(G288=3,2,IF(G288=2,3,4))))</f>
        <v>3</v>
      </c>
      <c r="I288" s="349"/>
      <c r="J288" s="153"/>
      <c r="K288" s="365"/>
    </row>
    <row r="289" spans="1:11" ht="11.85" customHeight="1">
      <c r="A289" s="115">
        <v>32</v>
      </c>
      <c r="B289" s="402"/>
      <c r="C289" s="108">
        <v>5</v>
      </c>
      <c r="D289" s="351" t="str">
        <f>AwayTeam!$M$26</f>
        <v>Cody Blair</v>
      </c>
      <c r="E289" s="352"/>
      <c r="F289" s="212">
        <v>19.73</v>
      </c>
      <c r="G289" s="208">
        <v>6</v>
      </c>
      <c r="H289" s="166" t="str">
        <f t="shared" si="27"/>
        <v/>
      </c>
      <c r="I289" s="349"/>
      <c r="J289" s="153"/>
      <c r="K289" s="365"/>
    </row>
    <row r="290" spans="1:11" ht="11.85" customHeight="1" thickBot="1">
      <c r="A290" s="115" t="s">
        <v>10</v>
      </c>
      <c r="B290" s="403"/>
      <c r="C290" s="108">
        <v>7</v>
      </c>
      <c r="D290" s="351" t="str">
        <f>AwayTeam!$N$26</f>
        <v>Charlie Whiteside</v>
      </c>
      <c r="E290" s="352"/>
      <c r="F290" s="212">
        <v>27.06</v>
      </c>
      <c r="G290" s="208">
        <v>8</v>
      </c>
      <c r="H290" s="166" t="str">
        <f t="shared" si="27"/>
        <v/>
      </c>
      <c r="I290" s="350"/>
      <c r="J290" s="154"/>
      <c r="K290" s="366"/>
    </row>
    <row r="291" spans="1:11" ht="11.85" customHeight="1" thickBot="1">
      <c r="A291" s="115" t="s">
        <v>9</v>
      </c>
      <c r="B291" s="404" t="str">
        <f>HomeTeam!$D$2</f>
        <v>Lisburn</v>
      </c>
      <c r="C291" s="108">
        <v>2</v>
      </c>
      <c r="D291" s="351">
        <f>HomeTeam!$K$26</f>
        <v>0</v>
      </c>
      <c r="E291" s="352"/>
      <c r="F291" s="212">
        <v>19.46</v>
      </c>
      <c r="G291" s="208">
        <v>4</v>
      </c>
      <c r="H291" s="166">
        <f t="shared" si="27"/>
        <v>1</v>
      </c>
      <c r="I291" s="364"/>
      <c r="J291" s="105"/>
      <c r="K291" s="412">
        <v>3</v>
      </c>
    </row>
    <row r="292" spans="1:11" ht="11.85" customHeight="1" thickBot="1">
      <c r="A292" s="115"/>
      <c r="B292" s="402"/>
      <c r="C292" s="108">
        <v>4</v>
      </c>
      <c r="D292" s="351">
        <f>HomeTeam!$L$26</f>
        <v>0</v>
      </c>
      <c r="E292" s="352"/>
      <c r="F292" s="212">
        <v>18.47</v>
      </c>
      <c r="G292" s="208">
        <v>3</v>
      </c>
      <c r="H292" s="166">
        <f t="shared" si="27"/>
        <v>2</v>
      </c>
      <c r="I292" s="365"/>
      <c r="J292" s="105"/>
      <c r="K292" s="413"/>
    </row>
    <row r="293" spans="1:11" ht="11.85" customHeight="1" thickBot="1">
      <c r="A293" s="115"/>
      <c r="B293" s="402"/>
      <c r="C293" s="108">
        <v>6</v>
      </c>
      <c r="D293" s="351">
        <f>HomeTeam!$M$26</f>
        <v>0</v>
      </c>
      <c r="E293" s="352"/>
      <c r="F293" s="212">
        <v>19.21</v>
      </c>
      <c r="G293" s="208">
        <v>5</v>
      </c>
      <c r="H293" s="166" t="str">
        <f t="shared" si="27"/>
        <v/>
      </c>
      <c r="I293" s="365"/>
      <c r="J293" s="105"/>
      <c r="K293" s="413"/>
    </row>
    <row r="294" spans="1:11" ht="11.85" customHeight="1" thickBot="1">
      <c r="A294" s="117"/>
      <c r="B294" s="405"/>
      <c r="C294" s="113">
        <v>8</v>
      </c>
      <c r="D294" s="355">
        <f>HomeTeam!$N$26</f>
        <v>0</v>
      </c>
      <c r="E294" s="356"/>
      <c r="F294" s="213">
        <v>20.61</v>
      </c>
      <c r="G294" s="209">
        <v>7</v>
      </c>
      <c r="H294" s="167" t="str">
        <f t="shared" si="27"/>
        <v/>
      </c>
      <c r="I294" s="366"/>
      <c r="J294" s="105"/>
      <c r="K294" s="414"/>
    </row>
    <row r="295" spans="1:11" ht="11.85" customHeight="1">
      <c r="A295" s="115"/>
      <c r="B295" s="401" t="str">
        <f>AwayTeam!$D$2</f>
        <v>Limavady</v>
      </c>
      <c r="C295" s="103">
        <v>1</v>
      </c>
      <c r="D295" s="379" t="str">
        <f>AwayTeam!$D$27</f>
        <v>Amy Mc Gurk</v>
      </c>
      <c r="E295" s="380"/>
      <c r="F295" s="214">
        <v>18.78</v>
      </c>
      <c r="G295" s="207">
        <v>6</v>
      </c>
      <c r="H295" s="168" t="str">
        <f>IF(OR(G295="",G295=5,G295=6, G295=7, G295=8),"",IF(G295=4,1,IF(G295=3,2,IF(G295=2,3,4))))</f>
        <v/>
      </c>
      <c r="I295" s="348">
        <v>4</v>
      </c>
      <c r="J295" s="152"/>
      <c r="K295" s="364"/>
    </row>
    <row r="296" spans="1:11" ht="11.85" customHeight="1">
      <c r="A296" s="115"/>
      <c r="B296" s="402"/>
      <c r="C296" s="108">
        <v>3</v>
      </c>
      <c r="D296" s="351" t="str">
        <f>AwayTeam!$E$27</f>
        <v>Anna Mc Gookin</v>
      </c>
      <c r="E296" s="352"/>
      <c r="F296" s="212">
        <v>16.84</v>
      </c>
      <c r="G296" s="208">
        <v>2</v>
      </c>
      <c r="H296" s="166">
        <f t="shared" ref="H296:H302" si="28">IF(OR(G296="",G296=5,G296=6, G296=7, G296=8),"",IF(G296=4,1,IF(G296=3,2,IF(G296=2,3,4))))</f>
        <v>3</v>
      </c>
      <c r="I296" s="349"/>
      <c r="J296" s="153"/>
      <c r="K296" s="365"/>
    </row>
    <row r="297" spans="1:11" ht="11.85" customHeight="1">
      <c r="A297" s="115">
        <v>33</v>
      </c>
      <c r="B297" s="402"/>
      <c r="C297" s="108">
        <v>5</v>
      </c>
      <c r="D297" s="351" t="str">
        <f>AwayTeam!$F$27</f>
        <v>Emila Kingston</v>
      </c>
      <c r="E297" s="352"/>
      <c r="F297" s="212">
        <v>18.899999999999999</v>
      </c>
      <c r="G297" s="208">
        <v>4</v>
      </c>
      <c r="H297" s="166">
        <f t="shared" si="28"/>
        <v>1</v>
      </c>
      <c r="I297" s="349"/>
      <c r="J297" s="153"/>
      <c r="K297" s="365"/>
    </row>
    <row r="298" spans="1:11" ht="11.85" customHeight="1" thickBot="1">
      <c r="A298" s="115" t="s">
        <v>11</v>
      </c>
      <c r="B298" s="403"/>
      <c r="C298" s="108">
        <v>7</v>
      </c>
      <c r="D298" s="351">
        <f>AwayTeam!$G$27</f>
        <v>0</v>
      </c>
      <c r="E298" s="352"/>
      <c r="F298" s="212">
        <v>20.2</v>
      </c>
      <c r="G298" s="208">
        <v>7</v>
      </c>
      <c r="H298" s="166" t="str">
        <f t="shared" si="28"/>
        <v/>
      </c>
      <c r="I298" s="350"/>
      <c r="J298" s="154"/>
      <c r="K298" s="366"/>
    </row>
    <row r="299" spans="1:11" ht="11.85" customHeight="1" thickBot="1">
      <c r="A299" s="115" t="s">
        <v>8</v>
      </c>
      <c r="B299" s="404" t="str">
        <f>HomeTeam!$D$2</f>
        <v>Lisburn</v>
      </c>
      <c r="C299" s="108">
        <v>2</v>
      </c>
      <c r="D299" s="351">
        <f>HomeTeam!$D$27</f>
        <v>0</v>
      </c>
      <c r="E299" s="352"/>
      <c r="F299" s="212">
        <v>18.03</v>
      </c>
      <c r="G299" s="208">
        <v>3</v>
      </c>
      <c r="H299" s="166">
        <f t="shared" si="28"/>
        <v>2</v>
      </c>
      <c r="I299" s="364"/>
      <c r="J299" s="105"/>
      <c r="K299" s="412">
        <v>6</v>
      </c>
    </row>
    <row r="300" spans="1:11" ht="11.85" customHeight="1" thickBot="1">
      <c r="A300" s="115"/>
      <c r="B300" s="402"/>
      <c r="C300" s="108">
        <v>4</v>
      </c>
      <c r="D300" s="351">
        <f>HomeTeam!$E$27</f>
        <v>0</v>
      </c>
      <c r="E300" s="352"/>
      <c r="F300" s="212">
        <v>18.5</v>
      </c>
      <c r="G300" s="208">
        <v>5</v>
      </c>
      <c r="H300" s="166" t="str">
        <f t="shared" si="28"/>
        <v/>
      </c>
      <c r="I300" s="365"/>
      <c r="J300" s="105"/>
      <c r="K300" s="413"/>
    </row>
    <row r="301" spans="1:11" ht="11.85" customHeight="1" thickBot="1">
      <c r="A301" s="115"/>
      <c r="B301" s="402"/>
      <c r="C301" s="108">
        <v>6</v>
      </c>
      <c r="D301" s="351">
        <f>HomeTeam!$F$27</f>
        <v>0</v>
      </c>
      <c r="E301" s="352"/>
      <c r="F301" s="212">
        <v>16.73</v>
      </c>
      <c r="G301" s="208">
        <v>1</v>
      </c>
      <c r="H301" s="166">
        <f t="shared" si="28"/>
        <v>4</v>
      </c>
      <c r="I301" s="365"/>
      <c r="J301" s="105"/>
      <c r="K301" s="413"/>
    </row>
    <row r="302" spans="1:11" ht="11.85" customHeight="1" thickBot="1">
      <c r="A302" s="117"/>
      <c r="B302" s="405"/>
      <c r="C302" s="113">
        <v>8</v>
      </c>
      <c r="D302" s="355">
        <f>HomeTeam!$G$27</f>
        <v>0</v>
      </c>
      <c r="E302" s="356"/>
      <c r="F302" s="213">
        <v>18.760000000000002</v>
      </c>
      <c r="G302" s="209"/>
      <c r="H302" s="167" t="str">
        <f t="shared" si="28"/>
        <v/>
      </c>
      <c r="I302" s="366"/>
      <c r="J302" s="105"/>
      <c r="K302" s="414"/>
    </row>
    <row r="303" spans="1:11" ht="11.85" customHeight="1">
      <c r="A303" s="115"/>
      <c r="B303" s="401" t="str">
        <f>AwayTeam!$D$2</f>
        <v>Limavady</v>
      </c>
      <c r="C303" s="103">
        <v>1</v>
      </c>
      <c r="D303" s="379" t="str">
        <f>AwayTeam!$K$27</f>
        <v>Oliver Smith</v>
      </c>
      <c r="E303" s="380"/>
      <c r="F303" s="214">
        <v>18.8</v>
      </c>
      <c r="G303" s="207">
        <v>4</v>
      </c>
      <c r="H303" s="168">
        <f>IF(OR(G303="",G303=5,G303=6, G303=7, G303=8),"",IF(G303=4,1,IF(G303=3,2,IF(G303=2,3,4))))</f>
        <v>1</v>
      </c>
      <c r="I303" s="348">
        <v>4</v>
      </c>
      <c r="J303" s="152"/>
      <c r="K303" s="364"/>
    </row>
    <row r="304" spans="1:11" ht="11.85" customHeight="1">
      <c r="A304" s="115"/>
      <c r="B304" s="402"/>
      <c r="C304" s="108">
        <v>3</v>
      </c>
      <c r="D304" s="351" t="str">
        <f>AwayTeam!$L$27</f>
        <v>Cailean Gallagher</v>
      </c>
      <c r="E304" s="352"/>
      <c r="F304" s="212">
        <v>16.34</v>
      </c>
      <c r="G304" s="208">
        <v>2</v>
      </c>
      <c r="H304" s="166">
        <f t="shared" ref="H304:H310" si="29">IF(OR(G304="",G304=5,G304=6, G304=7, G304=8),"",IF(G304=4,1,IF(G304=3,2,IF(G304=2,3,4))))</f>
        <v>3</v>
      </c>
      <c r="I304" s="349"/>
      <c r="J304" s="153"/>
      <c r="K304" s="365"/>
    </row>
    <row r="305" spans="1:11" ht="11.85" customHeight="1">
      <c r="A305" s="115">
        <v>34</v>
      </c>
      <c r="B305" s="402"/>
      <c r="C305" s="108">
        <v>5</v>
      </c>
      <c r="D305" s="351" t="str">
        <f>AwayTeam!$M$27</f>
        <v>Lewis Robinson</v>
      </c>
      <c r="E305" s="352"/>
      <c r="F305" s="212">
        <v>19.04</v>
      </c>
      <c r="G305" s="208">
        <v>6</v>
      </c>
      <c r="H305" s="166" t="str">
        <f t="shared" si="29"/>
        <v/>
      </c>
      <c r="I305" s="349"/>
      <c r="J305" s="153"/>
      <c r="K305" s="365"/>
    </row>
    <row r="306" spans="1:11" ht="11.85" customHeight="1" thickBot="1">
      <c r="A306" s="115" t="s">
        <v>11</v>
      </c>
      <c r="B306" s="403"/>
      <c r="C306" s="108">
        <v>7</v>
      </c>
      <c r="D306" s="351" t="str">
        <f>AwayTeam!$N$27</f>
        <v>Tom Mc Shane</v>
      </c>
      <c r="E306" s="352"/>
      <c r="F306" s="212">
        <v>19.95</v>
      </c>
      <c r="G306" s="208">
        <v>8</v>
      </c>
      <c r="H306" s="166" t="str">
        <f t="shared" si="29"/>
        <v/>
      </c>
      <c r="I306" s="350"/>
      <c r="J306" s="154"/>
      <c r="K306" s="366"/>
    </row>
    <row r="307" spans="1:11" ht="11.85" customHeight="1" thickBot="1">
      <c r="A307" s="115" t="s">
        <v>9</v>
      </c>
      <c r="B307" s="404" t="str">
        <f>HomeTeam!$D$2</f>
        <v>Lisburn</v>
      </c>
      <c r="C307" s="108">
        <v>2</v>
      </c>
      <c r="D307" s="351">
        <f>HomeTeam!$K$27</f>
        <v>0</v>
      </c>
      <c r="E307" s="352"/>
      <c r="F307" s="212">
        <v>17.93</v>
      </c>
      <c r="G307" s="208">
        <v>5</v>
      </c>
      <c r="H307" s="166" t="str">
        <f t="shared" si="29"/>
        <v/>
      </c>
      <c r="I307" s="364"/>
      <c r="J307" s="105"/>
      <c r="K307" s="412">
        <v>6</v>
      </c>
    </row>
    <row r="308" spans="1:11" ht="11.85" customHeight="1" thickBot="1">
      <c r="A308" s="115"/>
      <c r="B308" s="402"/>
      <c r="C308" s="108">
        <v>4</v>
      </c>
      <c r="D308" s="351">
        <f>HomeTeam!$L$27</f>
        <v>0</v>
      </c>
      <c r="E308" s="352"/>
      <c r="F308" s="212">
        <v>15.52</v>
      </c>
      <c r="G308" s="208">
        <v>1</v>
      </c>
      <c r="H308" s="166">
        <f t="shared" si="29"/>
        <v>4</v>
      </c>
      <c r="I308" s="365"/>
      <c r="J308" s="105"/>
      <c r="K308" s="413"/>
    </row>
    <row r="309" spans="1:11" ht="11.85" customHeight="1" thickBot="1">
      <c r="A309" s="115"/>
      <c r="B309" s="402"/>
      <c r="C309" s="108">
        <v>6</v>
      </c>
      <c r="D309" s="351">
        <f>HomeTeam!$M$27</f>
        <v>0</v>
      </c>
      <c r="E309" s="352"/>
      <c r="F309" s="212">
        <v>16.93</v>
      </c>
      <c r="G309" s="208">
        <v>3</v>
      </c>
      <c r="H309" s="166">
        <f t="shared" si="29"/>
        <v>2</v>
      </c>
      <c r="I309" s="365"/>
      <c r="J309" s="105"/>
      <c r="K309" s="413"/>
    </row>
    <row r="310" spans="1:11" ht="11.85" customHeight="1" thickBot="1">
      <c r="A310" s="117"/>
      <c r="B310" s="405"/>
      <c r="C310" s="113">
        <v>8</v>
      </c>
      <c r="D310" s="355">
        <f>HomeTeam!$N$27</f>
        <v>0</v>
      </c>
      <c r="E310" s="356"/>
      <c r="F310" s="213">
        <v>17.55</v>
      </c>
      <c r="G310" s="209">
        <v>7</v>
      </c>
      <c r="H310" s="167" t="str">
        <f t="shared" si="29"/>
        <v/>
      </c>
      <c r="I310" s="366"/>
      <c r="J310" s="105"/>
      <c r="K310" s="414"/>
    </row>
    <row r="311" spans="1:11" ht="11.85" customHeight="1">
      <c r="A311" s="115"/>
      <c r="B311" s="401" t="str">
        <f>AwayTeam!$D$2</f>
        <v>Limavady</v>
      </c>
      <c r="C311" s="103">
        <v>1</v>
      </c>
      <c r="D311" s="379" t="str">
        <f>AwayTeam!$D$28</f>
        <v>Emily Butcher</v>
      </c>
      <c r="E311" s="380"/>
      <c r="F311" s="214">
        <v>16.38</v>
      </c>
      <c r="G311" s="207">
        <v>4</v>
      </c>
      <c r="H311" s="168">
        <f>IF(OR(G311="",G311=5,G311=6, G311=7, G311=8),"",IF(G311=4,1,IF(G311=3,2,IF(G311=2,3,4))))</f>
        <v>1</v>
      </c>
      <c r="I311" s="348">
        <v>3</v>
      </c>
      <c r="J311" s="152"/>
      <c r="K311" s="364"/>
    </row>
    <row r="312" spans="1:11" ht="11.85" customHeight="1">
      <c r="A312" s="115"/>
      <c r="B312" s="402"/>
      <c r="C312" s="108">
        <v>3</v>
      </c>
      <c r="D312" s="351" t="str">
        <f>AwayTeam!$E$28</f>
        <v>Abbi Craig</v>
      </c>
      <c r="E312" s="352"/>
      <c r="F312" s="212">
        <v>16.13</v>
      </c>
      <c r="G312" s="208">
        <v>3</v>
      </c>
      <c r="H312" s="166">
        <f t="shared" ref="H312:H318" si="30">IF(OR(G312="",G312=5,G312=6, G312=7, G312=8),"",IF(G312=4,1,IF(G312=3,2,IF(G312=2,3,4))))</f>
        <v>2</v>
      </c>
      <c r="I312" s="349"/>
      <c r="J312" s="153"/>
      <c r="K312" s="365"/>
    </row>
    <row r="313" spans="1:11" ht="11.85" customHeight="1">
      <c r="A313" s="115">
        <v>35</v>
      </c>
      <c r="B313" s="402"/>
      <c r="C313" s="108">
        <v>5</v>
      </c>
      <c r="D313" s="351" t="str">
        <f>AwayTeam!$F$28</f>
        <v>Cara Gallagher</v>
      </c>
      <c r="E313" s="352"/>
      <c r="F313" s="212">
        <v>21.18</v>
      </c>
      <c r="G313" s="208">
        <v>7</v>
      </c>
      <c r="H313" s="166" t="str">
        <f t="shared" si="30"/>
        <v/>
      </c>
      <c r="I313" s="349"/>
      <c r="J313" s="153"/>
      <c r="K313" s="365"/>
    </row>
    <row r="314" spans="1:11" ht="11.85" customHeight="1" thickBot="1">
      <c r="A314" s="115" t="s">
        <v>12</v>
      </c>
      <c r="B314" s="403"/>
      <c r="C314" s="108">
        <v>7</v>
      </c>
      <c r="D314" s="351" t="str">
        <f>AwayTeam!$G$28</f>
        <v>Erin Callaghan</v>
      </c>
      <c r="E314" s="352"/>
      <c r="F314" s="212">
        <v>17.93</v>
      </c>
      <c r="G314" s="208">
        <v>8</v>
      </c>
      <c r="H314" s="166" t="str">
        <f t="shared" si="30"/>
        <v/>
      </c>
      <c r="I314" s="350"/>
      <c r="J314" s="154"/>
      <c r="K314" s="366"/>
    </row>
    <row r="315" spans="1:11" ht="11.85" customHeight="1" thickBot="1">
      <c r="A315" s="115" t="s">
        <v>8</v>
      </c>
      <c r="B315" s="404" t="str">
        <f>HomeTeam!$D$2</f>
        <v>Lisburn</v>
      </c>
      <c r="C315" s="108">
        <v>2</v>
      </c>
      <c r="D315" s="351">
        <f>HomeTeam!$D$28</f>
        <v>0</v>
      </c>
      <c r="E315" s="352"/>
      <c r="F315" s="212">
        <v>16.489999999999998</v>
      </c>
      <c r="G315" s="208">
        <v>6</v>
      </c>
      <c r="H315" s="166" t="str">
        <f t="shared" si="30"/>
        <v/>
      </c>
      <c r="I315" s="364"/>
      <c r="J315" s="105"/>
      <c r="K315" s="412">
        <v>7</v>
      </c>
    </row>
    <row r="316" spans="1:11" ht="11.85" customHeight="1" thickBot="1">
      <c r="A316" s="115"/>
      <c r="B316" s="402"/>
      <c r="C316" s="108">
        <v>4</v>
      </c>
      <c r="D316" s="351">
        <f>HomeTeam!$E$28</f>
        <v>0</v>
      </c>
      <c r="E316" s="352"/>
      <c r="F316" s="212">
        <v>14.63</v>
      </c>
      <c r="G316" s="208">
        <v>1</v>
      </c>
      <c r="H316" s="166">
        <f t="shared" si="30"/>
        <v>4</v>
      </c>
      <c r="I316" s="365"/>
      <c r="J316" s="105"/>
      <c r="K316" s="413"/>
    </row>
    <row r="317" spans="1:11" ht="11.85" customHeight="1" thickBot="1">
      <c r="A317" s="115"/>
      <c r="B317" s="402"/>
      <c r="C317" s="108">
        <v>6</v>
      </c>
      <c r="D317" s="351">
        <f>HomeTeam!$F$28</f>
        <v>0</v>
      </c>
      <c r="E317" s="352"/>
      <c r="F317" s="212">
        <v>15.04</v>
      </c>
      <c r="G317" s="208">
        <v>2</v>
      </c>
      <c r="H317" s="166">
        <f t="shared" si="30"/>
        <v>3</v>
      </c>
      <c r="I317" s="365"/>
      <c r="J317" s="105"/>
      <c r="K317" s="413"/>
    </row>
    <row r="318" spans="1:11" ht="11.85" customHeight="1" thickBot="1">
      <c r="A318" s="117"/>
      <c r="B318" s="405"/>
      <c r="C318" s="113">
        <v>8</v>
      </c>
      <c r="D318" s="355">
        <f>HomeTeam!$G$28</f>
        <v>0</v>
      </c>
      <c r="E318" s="356"/>
      <c r="F318" s="213">
        <v>15.75</v>
      </c>
      <c r="G318" s="209">
        <v>5</v>
      </c>
      <c r="H318" s="167" t="str">
        <f t="shared" si="30"/>
        <v/>
      </c>
      <c r="I318" s="366"/>
      <c r="J318" s="105"/>
      <c r="K318" s="414"/>
    </row>
    <row r="319" spans="1:11" ht="11.85" customHeight="1">
      <c r="A319" s="115"/>
      <c r="B319" s="401" t="str">
        <f>AwayTeam!$D$2</f>
        <v>Limavady</v>
      </c>
      <c r="C319" s="103">
        <v>1</v>
      </c>
      <c r="D319" s="379" t="str">
        <f>AwayTeam!$K$28</f>
        <v>Ben Dinsmore</v>
      </c>
      <c r="E319" s="380"/>
      <c r="F319" s="214">
        <v>16.920000000000002</v>
      </c>
      <c r="G319" s="207">
        <v>4</v>
      </c>
      <c r="H319" s="168">
        <f>IF(OR(G319="",G319=5,G319=6, G319=7, G319=8),"",IF(G319=4,1,IF(G319=3,2,IF(G319=2,3,4))))</f>
        <v>1</v>
      </c>
      <c r="I319" s="348">
        <v>3</v>
      </c>
      <c r="J319" s="152"/>
      <c r="K319" s="364"/>
    </row>
    <row r="320" spans="1:11" ht="11.85" customHeight="1">
      <c r="A320" s="115"/>
      <c r="B320" s="402"/>
      <c r="C320" s="103">
        <v>3</v>
      </c>
      <c r="D320" s="351" t="str">
        <f>AwayTeam!$L$28</f>
        <v>Alex Whiteside</v>
      </c>
      <c r="E320" s="352"/>
      <c r="F320" s="214">
        <v>16.03</v>
      </c>
      <c r="G320" s="210">
        <v>3</v>
      </c>
      <c r="H320" s="166">
        <f t="shared" ref="H320:H326" si="31">IF(OR(G320="",G320=5,G320=6, G320=7, G320=8),"",IF(G320=4,1,IF(G320=3,2,IF(G320=2,3,4))))</f>
        <v>2</v>
      </c>
      <c r="I320" s="349"/>
      <c r="J320" s="153"/>
      <c r="K320" s="365"/>
    </row>
    <row r="321" spans="1:13" ht="11.85" customHeight="1">
      <c r="A321" s="115">
        <v>36</v>
      </c>
      <c r="B321" s="402"/>
      <c r="C321" s="108">
        <v>5</v>
      </c>
      <c r="D321" s="351" t="str">
        <f>AwayTeam!$M$28</f>
        <v>Jude Williams</v>
      </c>
      <c r="E321" s="352"/>
      <c r="F321" s="212">
        <v>17.71</v>
      </c>
      <c r="G321" s="208">
        <v>6</v>
      </c>
      <c r="H321" s="166" t="str">
        <f t="shared" si="31"/>
        <v/>
      </c>
      <c r="I321" s="349"/>
      <c r="J321" s="153"/>
      <c r="K321" s="365"/>
    </row>
    <row r="322" spans="1:13" ht="11.85" customHeight="1" thickBot="1">
      <c r="A322" s="115" t="s">
        <v>12</v>
      </c>
      <c r="B322" s="403"/>
      <c r="C322" s="108">
        <v>7</v>
      </c>
      <c r="D322" s="351" t="str">
        <f>AwayTeam!$N$28</f>
        <v>Joshua Hunt</v>
      </c>
      <c r="E322" s="352"/>
      <c r="F322" s="212">
        <v>17.920000000000002</v>
      </c>
      <c r="G322" s="208">
        <v>7</v>
      </c>
      <c r="H322" s="166" t="str">
        <f t="shared" si="31"/>
        <v/>
      </c>
      <c r="I322" s="350"/>
      <c r="J322" s="154"/>
      <c r="K322" s="366"/>
    </row>
    <row r="323" spans="1:13" ht="11.85" customHeight="1" thickBot="1">
      <c r="A323" s="115" t="s">
        <v>9</v>
      </c>
      <c r="B323" s="404" t="str">
        <f>HomeTeam!$D$2</f>
        <v>Lisburn</v>
      </c>
      <c r="C323" s="108">
        <v>2</v>
      </c>
      <c r="D323" s="351">
        <f>HomeTeam!$K$28</f>
        <v>0</v>
      </c>
      <c r="E323" s="352"/>
      <c r="F323" s="212">
        <v>15.87</v>
      </c>
      <c r="G323" s="208">
        <v>5</v>
      </c>
      <c r="H323" s="166" t="str">
        <f t="shared" si="31"/>
        <v/>
      </c>
      <c r="I323" s="364"/>
      <c r="J323" s="105"/>
      <c r="K323" s="412">
        <v>7</v>
      </c>
      <c r="M323" s="24"/>
    </row>
    <row r="324" spans="1:13" ht="11.85" customHeight="1" thickBot="1">
      <c r="A324" s="115"/>
      <c r="B324" s="402"/>
      <c r="C324" s="108">
        <v>4</v>
      </c>
      <c r="D324" s="351">
        <f>HomeTeam!$L$28</f>
        <v>0</v>
      </c>
      <c r="E324" s="352"/>
      <c r="F324" s="212">
        <v>14.76</v>
      </c>
      <c r="G324" s="208">
        <v>1</v>
      </c>
      <c r="H324" s="166">
        <f t="shared" si="31"/>
        <v>4</v>
      </c>
      <c r="I324" s="365"/>
      <c r="J324" s="105"/>
      <c r="K324" s="413"/>
    </row>
    <row r="325" spans="1:13" ht="11.85" customHeight="1" thickBot="1">
      <c r="A325" s="115"/>
      <c r="B325" s="402"/>
      <c r="C325" s="108">
        <v>6</v>
      </c>
      <c r="D325" s="351">
        <f>HomeTeam!$M$28</f>
        <v>0</v>
      </c>
      <c r="E325" s="352"/>
      <c r="F325" s="212">
        <v>15.47</v>
      </c>
      <c r="G325" s="208">
        <v>2</v>
      </c>
      <c r="H325" s="166">
        <f t="shared" si="31"/>
        <v>3</v>
      </c>
      <c r="I325" s="365"/>
      <c r="J325" s="105"/>
      <c r="K325" s="413"/>
    </row>
    <row r="326" spans="1:13" ht="11.85" customHeight="1" thickBot="1">
      <c r="A326" s="117"/>
      <c r="B326" s="405"/>
      <c r="C326" s="113">
        <v>8</v>
      </c>
      <c r="D326" s="355">
        <f>HomeTeam!$N$28</f>
        <v>0</v>
      </c>
      <c r="E326" s="356"/>
      <c r="F326" s="213">
        <v>17.86</v>
      </c>
      <c r="G326" s="209">
        <v>8</v>
      </c>
      <c r="H326" s="167" t="str">
        <f t="shared" si="31"/>
        <v/>
      </c>
      <c r="I326" s="366"/>
      <c r="J326" s="105"/>
      <c r="K326" s="414"/>
    </row>
    <row r="327" spans="1:13" ht="11.85" customHeight="1">
      <c r="A327" s="118"/>
      <c r="B327" s="119"/>
      <c r="C327" s="119"/>
      <c r="D327" s="120"/>
      <c r="E327" s="120"/>
      <c r="F327" s="169"/>
      <c r="G327" s="121" t="s">
        <v>13</v>
      </c>
      <c r="H327" s="170"/>
      <c r="I327" s="122">
        <f>SUM(I263,I271,I279,I287,I295,I303,I311,I319)</f>
        <v>34</v>
      </c>
      <c r="J327" s="121"/>
      <c r="K327" s="105">
        <f>SUM(K267,K275,K283,K291,K299,K307,K315,K323)</f>
        <v>46</v>
      </c>
    </row>
    <row r="328" spans="1:13" ht="11.85" customHeight="1">
      <c r="A328" s="118"/>
      <c r="B328" s="119"/>
      <c r="C328" s="119"/>
      <c r="D328" s="120"/>
      <c r="E328" s="120"/>
      <c r="F328" s="119"/>
      <c r="G328" s="119" t="s">
        <v>14</v>
      </c>
      <c r="H328" s="119"/>
      <c r="I328" s="123">
        <f>I258</f>
        <v>123</v>
      </c>
      <c r="J328" s="124"/>
      <c r="K328" s="133">
        <f>K258</f>
        <v>157</v>
      </c>
    </row>
    <row r="329" spans="1:13" ht="11.85" customHeight="1" thickBot="1">
      <c r="A329" s="125"/>
      <c r="B329" s="126"/>
      <c r="C329" s="126"/>
      <c r="D329" s="127"/>
      <c r="E329" s="127"/>
      <c r="F329" s="126"/>
      <c r="G329" s="126" t="s">
        <v>18</v>
      </c>
      <c r="H329" s="126"/>
      <c r="I329" s="128">
        <f>SUM(I327:I328)</f>
        <v>157</v>
      </c>
      <c r="J329" s="126"/>
      <c r="K329" s="134">
        <f>SUM(K327:K328)</f>
        <v>203</v>
      </c>
    </row>
    <row r="331" spans="1:13" ht="15.75">
      <c r="A331" s="363" t="s">
        <v>17</v>
      </c>
      <c r="B331" s="363"/>
      <c r="C331" s="363"/>
      <c r="D331" s="363"/>
      <c r="E331" s="363"/>
      <c r="F331" s="363"/>
      <c r="G331" s="363"/>
      <c r="H331" s="363"/>
      <c r="I331" s="363"/>
      <c r="J331" s="363"/>
      <c r="K331" s="363"/>
    </row>
    <row r="332" spans="1:13" ht="15.75" thickBot="1">
      <c r="A332" s="34"/>
      <c r="B332" s="34"/>
      <c r="C332" s="34"/>
      <c r="E332" s="35"/>
      <c r="F332" s="34"/>
      <c r="G332" s="34"/>
      <c r="H332" s="34"/>
      <c r="I332" s="34"/>
      <c r="J332" s="34"/>
      <c r="K332" s="34"/>
    </row>
    <row r="333" spans="1:13" ht="15.75">
      <c r="A333" s="10" t="s">
        <v>0</v>
      </c>
      <c r="B333" s="11" t="s">
        <v>1</v>
      </c>
      <c r="C333" s="11" t="s">
        <v>2</v>
      </c>
      <c r="D333" s="371" t="s">
        <v>3</v>
      </c>
      <c r="E333" s="372"/>
      <c r="F333" s="204" t="s">
        <v>4</v>
      </c>
      <c r="G333" s="203" t="s">
        <v>5</v>
      </c>
      <c r="H333" s="204" t="s">
        <v>6</v>
      </c>
      <c r="I333" s="376" t="s">
        <v>6</v>
      </c>
      <c r="J333" s="373"/>
      <c r="K333" s="374"/>
    </row>
    <row r="334" spans="1:13" ht="15.75" thickBot="1">
      <c r="A334" s="12"/>
      <c r="B334" s="13"/>
      <c r="C334" s="14"/>
      <c r="D334" s="15"/>
      <c r="E334" s="15"/>
      <c r="F334" s="205"/>
      <c r="G334" s="39"/>
      <c r="H334" s="205"/>
      <c r="I334" s="39"/>
      <c r="J334" s="22"/>
      <c r="K334" s="23"/>
    </row>
    <row r="335" spans="1:13" ht="15.75">
      <c r="A335" s="16"/>
      <c r="B335" s="409" t="s">
        <v>123</v>
      </c>
      <c r="C335" s="17"/>
      <c r="D335" s="369" t="str">
        <f>AwayTeam!F29</f>
        <v>Henry Connell</v>
      </c>
      <c r="E335" s="370"/>
      <c r="F335" s="334" t="s">
        <v>190</v>
      </c>
      <c r="G335" s="339">
        <v>2</v>
      </c>
      <c r="H335" s="339">
        <f>IF(G335="","", IF(G335=1,7,3))</f>
        <v>3</v>
      </c>
      <c r="I335" s="348">
        <v>3</v>
      </c>
      <c r="J335" s="57"/>
      <c r="K335" s="357"/>
    </row>
    <row r="336" spans="1:13" ht="15.75">
      <c r="A336" s="16">
        <v>37</v>
      </c>
      <c r="B336" s="407"/>
      <c r="C336" s="17">
        <v>3</v>
      </c>
      <c r="D336" s="369" t="str">
        <f>AwayTeam!F30</f>
        <v>Maise Campbell</v>
      </c>
      <c r="E336" s="370"/>
      <c r="F336" s="332"/>
      <c r="G336" s="340"/>
      <c r="H336" s="340"/>
      <c r="I336" s="349"/>
      <c r="J336" s="57"/>
      <c r="K336" s="358"/>
    </row>
    <row r="337" spans="1:11" ht="15.75">
      <c r="A337" s="16"/>
      <c r="B337" s="407"/>
      <c r="C337" s="17"/>
      <c r="D337" s="369" t="str">
        <f>AwayTeam!F31</f>
        <v>Isobella Mc Carron</v>
      </c>
      <c r="E337" s="370"/>
      <c r="F337" s="332"/>
      <c r="G337" s="340"/>
      <c r="H337" s="340"/>
      <c r="I337" s="349"/>
      <c r="J337" s="57"/>
      <c r="K337" s="358"/>
    </row>
    <row r="338" spans="1:11" ht="16.5" thickBot="1">
      <c r="A338" s="16" t="s">
        <v>7</v>
      </c>
      <c r="B338" s="410"/>
      <c r="C338" s="18"/>
      <c r="D338" s="369" t="str">
        <f>AwayTeam!F32</f>
        <v>Ollie Mc Macken</v>
      </c>
      <c r="E338" s="370"/>
      <c r="F338" s="335"/>
      <c r="G338" s="341"/>
      <c r="H338" s="341"/>
      <c r="I338" s="350"/>
      <c r="J338" s="58"/>
      <c r="K338" s="359"/>
    </row>
    <row r="339" spans="1:11" ht="15.75">
      <c r="A339" s="16"/>
      <c r="B339" s="406" t="s">
        <v>54</v>
      </c>
      <c r="C339" s="17"/>
      <c r="D339" s="368">
        <f>HomeTeam!E29</f>
        <v>0</v>
      </c>
      <c r="E339" s="375"/>
      <c r="F339" s="331" t="s">
        <v>189</v>
      </c>
      <c r="G339" s="345">
        <v>1</v>
      </c>
      <c r="H339" s="344">
        <f>IF(G339="","", IF(G339=1,7,3))</f>
        <v>7</v>
      </c>
      <c r="I339" s="360"/>
      <c r="J339" s="40"/>
      <c r="K339" s="348">
        <v>7</v>
      </c>
    </row>
    <row r="340" spans="1:11" ht="15.75">
      <c r="A340" s="16"/>
      <c r="B340" s="407"/>
      <c r="C340" s="17">
        <v>4</v>
      </c>
      <c r="D340" s="368">
        <f>HomeTeam!E30</f>
        <v>0</v>
      </c>
      <c r="E340" s="375"/>
      <c r="F340" s="332"/>
      <c r="G340" s="346"/>
      <c r="H340" s="340"/>
      <c r="I340" s="361"/>
      <c r="J340" s="41"/>
      <c r="K340" s="349"/>
    </row>
    <row r="341" spans="1:11" ht="15.75">
      <c r="A341" s="16"/>
      <c r="B341" s="407"/>
      <c r="C341" s="17"/>
      <c r="D341" s="368">
        <f>HomeTeam!E31</f>
        <v>0</v>
      </c>
      <c r="E341" s="375"/>
      <c r="F341" s="332"/>
      <c r="G341" s="346"/>
      <c r="H341" s="340"/>
      <c r="I341" s="361"/>
      <c r="J341" s="41"/>
      <c r="K341" s="349"/>
    </row>
    <row r="342" spans="1:11" ht="16.5" thickBot="1">
      <c r="A342" s="19"/>
      <c r="B342" s="408"/>
      <c r="C342" s="20"/>
      <c r="D342" s="377">
        <f>HomeTeam!E32</f>
        <v>0</v>
      </c>
      <c r="E342" s="378"/>
      <c r="F342" s="333"/>
      <c r="G342" s="347"/>
      <c r="H342" s="343"/>
      <c r="I342" s="362"/>
      <c r="J342" s="41"/>
      <c r="K342" s="350"/>
    </row>
    <row r="343" spans="1:11" ht="16.5" thickTop="1">
      <c r="A343" s="16"/>
      <c r="B343" s="409" t="s">
        <v>123</v>
      </c>
      <c r="C343" s="17"/>
      <c r="D343" s="369" t="str">
        <f>AwayTeam!F33</f>
        <v>Emila Kingston</v>
      </c>
      <c r="E343" s="370"/>
      <c r="F343" s="334" t="s">
        <v>192</v>
      </c>
      <c r="G343" s="339">
        <v>2</v>
      </c>
      <c r="H343" s="339">
        <f>IF(G343="","", IF(G343=1,7,3))</f>
        <v>3</v>
      </c>
      <c r="I343" s="348">
        <v>3</v>
      </c>
      <c r="J343" s="57"/>
      <c r="K343" s="357"/>
    </row>
    <row r="344" spans="1:11" ht="15.75">
      <c r="A344" s="16">
        <v>38</v>
      </c>
      <c r="B344" s="407"/>
      <c r="C344" s="17">
        <v>3</v>
      </c>
      <c r="D344" s="369" t="str">
        <f>AwayTeam!F34</f>
        <v>Toby Dinsmore</v>
      </c>
      <c r="E344" s="370"/>
      <c r="F344" s="332"/>
      <c r="G344" s="340"/>
      <c r="H344" s="340"/>
      <c r="I344" s="349"/>
      <c r="J344" s="57"/>
      <c r="K344" s="358"/>
    </row>
    <row r="345" spans="1:11" ht="15.75">
      <c r="A345" s="16"/>
      <c r="B345" s="407"/>
      <c r="C345" s="17"/>
      <c r="D345" s="369" t="str">
        <f>AwayTeam!F35</f>
        <v>Ellen Gibbons</v>
      </c>
      <c r="E345" s="370"/>
      <c r="F345" s="332"/>
      <c r="G345" s="340"/>
      <c r="H345" s="340"/>
      <c r="I345" s="349"/>
      <c r="J345" s="57"/>
      <c r="K345" s="358"/>
    </row>
    <row r="346" spans="1:11" ht="16.5" thickBot="1">
      <c r="A346" s="16" t="s">
        <v>10</v>
      </c>
      <c r="B346" s="410"/>
      <c r="C346" s="18"/>
      <c r="D346" s="369" t="str">
        <f>AwayTeam!F36</f>
        <v>Alexander Blaha</v>
      </c>
      <c r="E346" s="370"/>
      <c r="F346" s="335"/>
      <c r="G346" s="341"/>
      <c r="H346" s="341"/>
      <c r="I346" s="350"/>
      <c r="J346" s="58"/>
      <c r="K346" s="359"/>
    </row>
    <row r="347" spans="1:11" ht="15.75">
      <c r="A347" s="16"/>
      <c r="B347" s="406" t="s">
        <v>54</v>
      </c>
      <c r="C347" s="17"/>
      <c r="D347" s="368">
        <f>HomeTeam!E33</f>
        <v>0</v>
      </c>
      <c r="E347" s="375"/>
      <c r="F347" s="331" t="s">
        <v>191</v>
      </c>
      <c r="G347" s="345">
        <v>1</v>
      </c>
      <c r="H347" s="344">
        <f>IF(G347="","", IF(G347=1,7,3))</f>
        <v>7</v>
      </c>
      <c r="I347" s="360"/>
      <c r="J347" s="40"/>
      <c r="K347" s="348">
        <v>7</v>
      </c>
    </row>
    <row r="348" spans="1:11" ht="15.75">
      <c r="A348" s="16"/>
      <c r="B348" s="407"/>
      <c r="C348" s="17">
        <v>4</v>
      </c>
      <c r="D348" s="368">
        <f>HomeTeam!E34</f>
        <v>0</v>
      </c>
      <c r="E348" s="375"/>
      <c r="F348" s="332"/>
      <c r="G348" s="346"/>
      <c r="H348" s="340"/>
      <c r="I348" s="361"/>
      <c r="J348" s="41"/>
      <c r="K348" s="349"/>
    </row>
    <row r="349" spans="1:11" ht="15.75">
      <c r="A349" s="16"/>
      <c r="B349" s="407"/>
      <c r="C349" s="17"/>
      <c r="D349" s="368">
        <f>HomeTeam!E35</f>
        <v>0</v>
      </c>
      <c r="E349" s="375"/>
      <c r="F349" s="332"/>
      <c r="G349" s="346"/>
      <c r="H349" s="340"/>
      <c r="I349" s="361"/>
      <c r="J349" s="41"/>
      <c r="K349" s="349"/>
    </row>
    <row r="350" spans="1:11" ht="16.5" thickBot="1">
      <c r="A350" s="19"/>
      <c r="B350" s="408"/>
      <c r="C350" s="20"/>
      <c r="D350" s="377">
        <f>HomeTeam!E36</f>
        <v>0</v>
      </c>
      <c r="E350" s="378"/>
      <c r="F350" s="333"/>
      <c r="G350" s="347"/>
      <c r="H350" s="343"/>
      <c r="I350" s="362"/>
      <c r="J350" s="41"/>
      <c r="K350" s="350"/>
    </row>
    <row r="351" spans="1:11" ht="16.5" thickTop="1">
      <c r="A351" s="16"/>
      <c r="B351" s="409" t="s">
        <v>123</v>
      </c>
      <c r="C351" s="21"/>
      <c r="D351" s="369" t="str">
        <f>AwayTeam!M29</f>
        <v>Charlie Whiteside</v>
      </c>
      <c r="E351" s="370"/>
      <c r="F351" s="334" t="s">
        <v>194</v>
      </c>
      <c r="G351" s="339">
        <v>2</v>
      </c>
      <c r="H351" s="339">
        <f>IF(G351="","", IF(G351=1,7,3))</f>
        <v>3</v>
      </c>
      <c r="I351" s="348">
        <v>3</v>
      </c>
      <c r="J351" s="57"/>
      <c r="K351" s="357"/>
    </row>
    <row r="352" spans="1:11" ht="15.75">
      <c r="A352" s="16">
        <v>39</v>
      </c>
      <c r="B352" s="407"/>
      <c r="C352" s="17">
        <v>3</v>
      </c>
      <c r="D352" s="369" t="str">
        <f>AwayTeam!M30</f>
        <v>Clea Moore</v>
      </c>
      <c r="E352" s="370"/>
      <c r="F352" s="332"/>
      <c r="G352" s="340"/>
      <c r="H352" s="340"/>
      <c r="I352" s="349"/>
      <c r="J352" s="57"/>
      <c r="K352" s="358"/>
    </row>
    <row r="353" spans="1:11" ht="15.75">
      <c r="A353" s="16"/>
      <c r="B353" s="407"/>
      <c r="C353" s="17"/>
      <c r="D353" s="369">
        <f>AwayTeam!M31</f>
        <v>0</v>
      </c>
      <c r="E353" s="370"/>
      <c r="F353" s="332"/>
      <c r="G353" s="340"/>
      <c r="H353" s="340"/>
      <c r="I353" s="349"/>
      <c r="J353" s="57"/>
      <c r="K353" s="358"/>
    </row>
    <row r="354" spans="1:11" ht="16.5" thickBot="1">
      <c r="A354" s="16" t="s">
        <v>11</v>
      </c>
      <c r="B354" s="410"/>
      <c r="C354" s="18"/>
      <c r="D354" s="369" t="str">
        <f>AwayTeam!M32</f>
        <v>Toby Dinsmore</v>
      </c>
      <c r="E354" s="370"/>
      <c r="F354" s="335"/>
      <c r="G354" s="341"/>
      <c r="H354" s="341"/>
      <c r="I354" s="350"/>
      <c r="J354" s="58"/>
      <c r="K354" s="359"/>
    </row>
    <row r="355" spans="1:11" ht="15.75">
      <c r="A355" s="16"/>
      <c r="B355" s="406" t="s">
        <v>54</v>
      </c>
      <c r="C355" s="17"/>
      <c r="D355" s="368">
        <f>HomeTeam!L29</f>
        <v>0</v>
      </c>
      <c r="E355" s="375"/>
      <c r="F355" s="331" t="s">
        <v>193</v>
      </c>
      <c r="G355" s="345">
        <v>1</v>
      </c>
      <c r="H355" s="344">
        <f>IF(G355="","", IF(G355=1,7,3))</f>
        <v>7</v>
      </c>
      <c r="I355" s="360"/>
      <c r="J355" s="40"/>
      <c r="K355" s="348">
        <v>7</v>
      </c>
    </row>
    <row r="356" spans="1:11" ht="15.75">
      <c r="A356" s="16"/>
      <c r="B356" s="407"/>
      <c r="C356" s="17">
        <v>4</v>
      </c>
      <c r="D356" s="368">
        <f>HomeTeam!L30</f>
        <v>0</v>
      </c>
      <c r="E356" s="375"/>
      <c r="F356" s="332"/>
      <c r="G356" s="346"/>
      <c r="H356" s="340"/>
      <c r="I356" s="361"/>
      <c r="J356" s="41"/>
      <c r="K356" s="349"/>
    </row>
    <row r="357" spans="1:11" ht="15.75">
      <c r="A357" s="16"/>
      <c r="B357" s="407"/>
      <c r="C357" s="17"/>
      <c r="D357" s="368">
        <f>HomeTeam!L31</f>
        <v>0</v>
      </c>
      <c r="E357" s="375"/>
      <c r="F357" s="332"/>
      <c r="G357" s="346"/>
      <c r="H357" s="340"/>
      <c r="I357" s="361"/>
      <c r="J357" s="41"/>
      <c r="K357" s="349"/>
    </row>
    <row r="358" spans="1:11" ht="16.5" thickBot="1">
      <c r="A358" s="19"/>
      <c r="B358" s="408"/>
      <c r="C358" s="20"/>
      <c r="D358" s="377">
        <f>HomeTeam!L32</f>
        <v>0</v>
      </c>
      <c r="E358" s="378"/>
      <c r="F358" s="333"/>
      <c r="G358" s="347"/>
      <c r="H358" s="343"/>
      <c r="I358" s="362"/>
      <c r="J358" s="41"/>
      <c r="K358" s="350"/>
    </row>
    <row r="359" spans="1:11" ht="16.5" thickTop="1">
      <c r="A359" s="16"/>
      <c r="B359" s="409" t="s">
        <v>123</v>
      </c>
      <c r="C359" s="21"/>
      <c r="D359" s="369" t="str">
        <f>AwayTeam!M33</f>
        <v>Otis Irwin</v>
      </c>
      <c r="E359" s="370"/>
      <c r="F359" s="334" t="s">
        <v>195</v>
      </c>
      <c r="G359" s="339">
        <v>2</v>
      </c>
      <c r="H359" s="339">
        <f>IF(G359="","", IF(G359=1,7,3))</f>
        <v>3</v>
      </c>
      <c r="I359" s="348">
        <v>3</v>
      </c>
      <c r="J359" s="57"/>
      <c r="K359" s="357"/>
    </row>
    <row r="360" spans="1:11" ht="15.75">
      <c r="A360" s="16">
        <v>40</v>
      </c>
      <c r="B360" s="407"/>
      <c r="C360" s="17">
        <v>3</v>
      </c>
      <c r="D360" s="369" t="str">
        <f>AwayTeam!M34</f>
        <v>Rose Mc Laughlin</v>
      </c>
      <c r="E360" s="370"/>
      <c r="F360" s="332"/>
      <c r="G360" s="340"/>
      <c r="H360" s="340"/>
      <c r="I360" s="349"/>
      <c r="J360" s="57"/>
      <c r="K360" s="358"/>
    </row>
    <row r="361" spans="1:11" ht="15.75">
      <c r="A361" s="16"/>
      <c r="B361" s="407"/>
      <c r="C361" s="17"/>
      <c r="D361" s="369" t="str">
        <f>AwayTeam!M35</f>
        <v>Cara Gallagher</v>
      </c>
      <c r="E361" s="370"/>
      <c r="F361" s="332"/>
      <c r="G361" s="340"/>
      <c r="H361" s="340"/>
      <c r="I361" s="349"/>
      <c r="J361" s="57"/>
      <c r="K361" s="358"/>
    </row>
    <row r="362" spans="1:11" ht="16.5" thickBot="1">
      <c r="A362" s="16" t="s">
        <v>12</v>
      </c>
      <c r="B362" s="410"/>
      <c r="C362" s="18"/>
      <c r="D362" s="369" t="str">
        <f>AwayTeam!M36</f>
        <v>Tom Mc Shane</v>
      </c>
      <c r="E362" s="370"/>
      <c r="F362" s="335"/>
      <c r="G362" s="341"/>
      <c r="H362" s="341"/>
      <c r="I362" s="350"/>
      <c r="J362" s="58"/>
      <c r="K362" s="359"/>
    </row>
    <row r="363" spans="1:11" ht="15.75">
      <c r="A363" s="16"/>
      <c r="B363" s="406" t="s">
        <v>54</v>
      </c>
      <c r="C363" s="17"/>
      <c r="D363" s="368">
        <f>HomeTeam!L33</f>
        <v>0</v>
      </c>
      <c r="E363" s="375"/>
      <c r="F363" s="331">
        <v>59.07</v>
      </c>
      <c r="G363" s="345">
        <v>1</v>
      </c>
      <c r="H363" s="344">
        <f>IF(G363="","", IF(G363=1,7,3))</f>
        <v>7</v>
      </c>
      <c r="I363" s="360"/>
      <c r="J363" s="40"/>
      <c r="K363" s="348">
        <v>7</v>
      </c>
    </row>
    <row r="364" spans="1:11" ht="15.75">
      <c r="A364" s="16"/>
      <c r="B364" s="407"/>
      <c r="C364" s="17">
        <v>4</v>
      </c>
      <c r="D364" s="368">
        <f>HomeTeam!L34</f>
        <v>0</v>
      </c>
      <c r="E364" s="375"/>
      <c r="F364" s="332"/>
      <c r="G364" s="346"/>
      <c r="H364" s="340"/>
      <c r="I364" s="361"/>
      <c r="J364" s="41"/>
      <c r="K364" s="349"/>
    </row>
    <row r="365" spans="1:11" ht="15.75">
      <c r="A365" s="16"/>
      <c r="B365" s="407"/>
      <c r="C365" s="17"/>
      <c r="D365" s="368">
        <f>HomeTeam!L35</f>
        <v>0</v>
      </c>
      <c r="E365" s="375"/>
      <c r="F365" s="332"/>
      <c r="G365" s="346"/>
      <c r="H365" s="340"/>
      <c r="I365" s="361"/>
      <c r="J365" s="41"/>
      <c r="K365" s="349"/>
    </row>
    <row r="366" spans="1:11" ht="16.5" thickBot="1">
      <c r="A366" s="19"/>
      <c r="B366" s="408"/>
      <c r="C366" s="20"/>
      <c r="D366" s="377">
        <f>HomeTeam!L36</f>
        <v>0</v>
      </c>
      <c r="E366" s="378"/>
      <c r="F366" s="333"/>
      <c r="G366" s="347"/>
      <c r="H366" s="343"/>
      <c r="I366" s="362"/>
      <c r="J366" s="41"/>
      <c r="K366" s="350"/>
    </row>
    <row r="367" spans="1:11" ht="16.5" thickTop="1">
      <c r="A367" s="37"/>
      <c r="B367" s="26"/>
      <c r="C367" s="26"/>
      <c r="D367" s="38"/>
      <c r="E367" s="38"/>
      <c r="F367" s="26"/>
      <c r="G367" s="25" t="s">
        <v>13</v>
      </c>
      <c r="H367" s="26"/>
      <c r="I367" s="138">
        <f>SUM(I335,I343,I351,I359,)</f>
        <v>12</v>
      </c>
      <c r="J367" s="135"/>
      <c r="K367" s="7">
        <f>SUM(K339,K347,K355,K363)</f>
        <v>28</v>
      </c>
    </row>
    <row r="368" spans="1:11" ht="15.75">
      <c r="A368" s="37"/>
      <c r="B368" s="26"/>
      <c r="C368" s="26"/>
      <c r="D368" s="38"/>
      <c r="E368" s="38"/>
      <c r="F368" s="26"/>
      <c r="G368" s="25" t="s">
        <v>15</v>
      </c>
      <c r="H368" s="26"/>
      <c r="I368" s="139">
        <f>I329</f>
        <v>157</v>
      </c>
      <c r="J368" s="136"/>
      <c r="K368" s="8">
        <f>K329</f>
        <v>203</v>
      </c>
    </row>
    <row r="369" spans="1:11" ht="16.5" thickBot="1">
      <c r="A369" s="39"/>
      <c r="B369" s="22"/>
      <c r="C369" s="22"/>
      <c r="D369" s="15"/>
      <c r="E369" s="15"/>
      <c r="F369" s="22"/>
      <c r="G369" s="27" t="s">
        <v>18</v>
      </c>
      <c r="H369" s="22"/>
      <c r="I369" s="140">
        <f>SUM(I367:I368)</f>
        <v>169</v>
      </c>
      <c r="J369" s="137"/>
      <c r="K369" s="9">
        <f>SUM(K367:K368)</f>
        <v>231</v>
      </c>
    </row>
  </sheetData>
  <sheetProtection formatCells="0" formatColumns="0" selectLockedCells="1"/>
  <mergeCells count="628">
    <mergeCell ref="H339:H342"/>
    <mergeCell ref="H343:H346"/>
    <mergeCell ref="H347:H350"/>
    <mergeCell ref="H351:H354"/>
    <mergeCell ref="H355:H358"/>
    <mergeCell ref="H359:H362"/>
    <mergeCell ref="H363:H366"/>
    <mergeCell ref="H11:H14"/>
    <mergeCell ref="H15:H18"/>
    <mergeCell ref="H19:H22"/>
    <mergeCell ref="H23:H26"/>
    <mergeCell ref="H27:H30"/>
    <mergeCell ref="H31:H34"/>
    <mergeCell ref="H35:H38"/>
    <mergeCell ref="H39:H42"/>
    <mergeCell ref="H335:H338"/>
    <mergeCell ref="B307:B310"/>
    <mergeCell ref="I307:I310"/>
    <mergeCell ref="K307:K310"/>
    <mergeCell ref="D111:E111"/>
    <mergeCell ref="D133:E133"/>
    <mergeCell ref="D131:E131"/>
    <mergeCell ref="D132:E132"/>
    <mergeCell ref="D127:E127"/>
    <mergeCell ref="D103:E103"/>
    <mergeCell ref="D120:E120"/>
    <mergeCell ref="D109:E109"/>
    <mergeCell ref="D108:E108"/>
    <mergeCell ref="B311:B314"/>
    <mergeCell ref="D311:E311"/>
    <mergeCell ref="I311:I314"/>
    <mergeCell ref="K311:K314"/>
    <mergeCell ref="D312:E312"/>
    <mergeCell ref="D313:E313"/>
    <mergeCell ref="D314:E314"/>
    <mergeCell ref="I323:I326"/>
    <mergeCell ref="K323:K326"/>
    <mergeCell ref="D325:E325"/>
    <mergeCell ref="D326:E326"/>
    <mergeCell ref="D324:E324"/>
    <mergeCell ref="B315:B318"/>
    <mergeCell ref="D315:E315"/>
    <mergeCell ref="I315:I318"/>
    <mergeCell ref="K315:K318"/>
    <mergeCell ref="D317:E317"/>
    <mergeCell ref="D318:E318"/>
    <mergeCell ref="D316:E316"/>
    <mergeCell ref="B319:B322"/>
    <mergeCell ref="D319:E319"/>
    <mergeCell ref="I319:I322"/>
    <mergeCell ref="K319:K322"/>
    <mergeCell ref="D321:E321"/>
    <mergeCell ref="I299:I302"/>
    <mergeCell ref="K299:K302"/>
    <mergeCell ref="D301:E301"/>
    <mergeCell ref="D302:E302"/>
    <mergeCell ref="D300:E300"/>
    <mergeCell ref="B303:B306"/>
    <mergeCell ref="D303:E303"/>
    <mergeCell ref="I303:I306"/>
    <mergeCell ref="K303:K306"/>
    <mergeCell ref="D304:E304"/>
    <mergeCell ref="D305:E305"/>
    <mergeCell ref="D306:E306"/>
    <mergeCell ref="D299:E299"/>
    <mergeCell ref="I291:I294"/>
    <mergeCell ref="K291:K294"/>
    <mergeCell ref="D293:E293"/>
    <mergeCell ref="D294:E294"/>
    <mergeCell ref="D292:E292"/>
    <mergeCell ref="B295:B298"/>
    <mergeCell ref="D295:E295"/>
    <mergeCell ref="I295:I298"/>
    <mergeCell ref="K295:K298"/>
    <mergeCell ref="D296:E296"/>
    <mergeCell ref="D297:E297"/>
    <mergeCell ref="D298:E298"/>
    <mergeCell ref="I283:I286"/>
    <mergeCell ref="K283:K286"/>
    <mergeCell ref="D285:E285"/>
    <mergeCell ref="D286:E286"/>
    <mergeCell ref="D284:E284"/>
    <mergeCell ref="B287:B290"/>
    <mergeCell ref="D287:E287"/>
    <mergeCell ref="I287:I290"/>
    <mergeCell ref="K287:K290"/>
    <mergeCell ref="D288:E288"/>
    <mergeCell ref="D289:E289"/>
    <mergeCell ref="D290:E290"/>
    <mergeCell ref="D283:E283"/>
    <mergeCell ref="I275:I278"/>
    <mergeCell ref="K275:K278"/>
    <mergeCell ref="D277:E277"/>
    <mergeCell ref="D278:E278"/>
    <mergeCell ref="D276:E276"/>
    <mergeCell ref="B279:B282"/>
    <mergeCell ref="D279:E279"/>
    <mergeCell ref="I279:I282"/>
    <mergeCell ref="K279:K282"/>
    <mergeCell ref="D280:E280"/>
    <mergeCell ref="D281:E281"/>
    <mergeCell ref="D282:E282"/>
    <mergeCell ref="D275:E275"/>
    <mergeCell ref="I267:I270"/>
    <mergeCell ref="K267:K270"/>
    <mergeCell ref="D269:E269"/>
    <mergeCell ref="D270:E270"/>
    <mergeCell ref="D268:E268"/>
    <mergeCell ref="B271:B274"/>
    <mergeCell ref="D271:E271"/>
    <mergeCell ref="I271:I274"/>
    <mergeCell ref="K271:K274"/>
    <mergeCell ref="D272:E272"/>
    <mergeCell ref="D273:E273"/>
    <mergeCell ref="D274:E274"/>
    <mergeCell ref="D267:E267"/>
    <mergeCell ref="I252:I255"/>
    <mergeCell ref="K252:K255"/>
    <mergeCell ref="D254:E254"/>
    <mergeCell ref="D255:E255"/>
    <mergeCell ref="D253:E253"/>
    <mergeCell ref="I262:K262"/>
    <mergeCell ref="B263:B266"/>
    <mergeCell ref="D263:E263"/>
    <mergeCell ref="I263:I266"/>
    <mergeCell ref="K263:K266"/>
    <mergeCell ref="D264:E264"/>
    <mergeCell ref="D265:E265"/>
    <mergeCell ref="D266:E266"/>
    <mergeCell ref="D262:E262"/>
    <mergeCell ref="D252:E252"/>
    <mergeCell ref="I244:I247"/>
    <mergeCell ref="K244:K247"/>
    <mergeCell ref="D246:E246"/>
    <mergeCell ref="D247:E247"/>
    <mergeCell ref="D245:E245"/>
    <mergeCell ref="B248:B251"/>
    <mergeCell ref="D248:E248"/>
    <mergeCell ref="I248:I251"/>
    <mergeCell ref="K248:K251"/>
    <mergeCell ref="D250:E250"/>
    <mergeCell ref="D251:E251"/>
    <mergeCell ref="D249:E249"/>
    <mergeCell ref="D244:E244"/>
    <mergeCell ref="I236:I239"/>
    <mergeCell ref="K236:K239"/>
    <mergeCell ref="D238:E238"/>
    <mergeCell ref="D239:E239"/>
    <mergeCell ref="D237:E237"/>
    <mergeCell ref="B240:B243"/>
    <mergeCell ref="D240:E240"/>
    <mergeCell ref="I240:I243"/>
    <mergeCell ref="K240:K243"/>
    <mergeCell ref="D241:E241"/>
    <mergeCell ref="D242:E242"/>
    <mergeCell ref="D243:E243"/>
    <mergeCell ref="D236:E236"/>
    <mergeCell ref="I228:I231"/>
    <mergeCell ref="K228:K231"/>
    <mergeCell ref="D230:E230"/>
    <mergeCell ref="D231:E231"/>
    <mergeCell ref="D229:E229"/>
    <mergeCell ref="B232:B235"/>
    <mergeCell ref="D232:E232"/>
    <mergeCell ref="I232:I235"/>
    <mergeCell ref="K232:K235"/>
    <mergeCell ref="D233:E233"/>
    <mergeCell ref="D234:E234"/>
    <mergeCell ref="D235:E235"/>
    <mergeCell ref="D228:E228"/>
    <mergeCell ref="I220:I223"/>
    <mergeCell ref="K220:K223"/>
    <mergeCell ref="D222:E222"/>
    <mergeCell ref="D223:E223"/>
    <mergeCell ref="D221:E221"/>
    <mergeCell ref="B224:B227"/>
    <mergeCell ref="D224:E224"/>
    <mergeCell ref="I224:I227"/>
    <mergeCell ref="K224:K227"/>
    <mergeCell ref="D225:E225"/>
    <mergeCell ref="D226:E226"/>
    <mergeCell ref="D227:E227"/>
    <mergeCell ref="D220:E220"/>
    <mergeCell ref="I212:I215"/>
    <mergeCell ref="K212:K215"/>
    <mergeCell ref="D214:E214"/>
    <mergeCell ref="D215:E215"/>
    <mergeCell ref="D213:E213"/>
    <mergeCell ref="B216:B219"/>
    <mergeCell ref="D216:E216"/>
    <mergeCell ref="I216:I219"/>
    <mergeCell ref="K216:K219"/>
    <mergeCell ref="D217:E217"/>
    <mergeCell ref="D218:E218"/>
    <mergeCell ref="D219:E219"/>
    <mergeCell ref="D158:E158"/>
    <mergeCell ref="B161:B164"/>
    <mergeCell ref="B181:B184"/>
    <mergeCell ref="K208:K211"/>
    <mergeCell ref="D209:E209"/>
    <mergeCell ref="D210:E210"/>
    <mergeCell ref="D211:E211"/>
    <mergeCell ref="D182:E182"/>
    <mergeCell ref="D178:E178"/>
    <mergeCell ref="D184:E184"/>
    <mergeCell ref="D181:E181"/>
    <mergeCell ref="I191:K191"/>
    <mergeCell ref="I177:I180"/>
    <mergeCell ref="K177:K180"/>
    <mergeCell ref="I196:I199"/>
    <mergeCell ref="K196:K199"/>
    <mergeCell ref="D198:E198"/>
    <mergeCell ref="D204:E204"/>
    <mergeCell ref="I204:I207"/>
    <mergeCell ref="K181:K184"/>
    <mergeCell ref="D183:E183"/>
    <mergeCell ref="D177:E177"/>
    <mergeCell ref="D208:E208"/>
    <mergeCell ref="D205:E205"/>
    <mergeCell ref="B204:B207"/>
    <mergeCell ref="B200:B203"/>
    <mergeCell ref="D200:E200"/>
    <mergeCell ref="I200:I203"/>
    <mergeCell ref="B196:B199"/>
    <mergeCell ref="D196:E196"/>
    <mergeCell ref="B192:B195"/>
    <mergeCell ref="D206:E206"/>
    <mergeCell ref="D207:E207"/>
    <mergeCell ref="D197:E197"/>
    <mergeCell ref="D144:E144"/>
    <mergeCell ref="D148:E148"/>
    <mergeCell ref="D149:E149"/>
    <mergeCell ref="B145:B148"/>
    <mergeCell ref="I145:I148"/>
    <mergeCell ref="D150:E150"/>
    <mergeCell ref="B153:B156"/>
    <mergeCell ref="I153:I156"/>
    <mergeCell ref="D153:E153"/>
    <mergeCell ref="D154:E154"/>
    <mergeCell ref="D155:E155"/>
    <mergeCell ref="D146:E146"/>
    <mergeCell ref="D145:E145"/>
    <mergeCell ref="B121:B124"/>
    <mergeCell ref="I121:I124"/>
    <mergeCell ref="K121:K124"/>
    <mergeCell ref="D123:E123"/>
    <mergeCell ref="I125:I128"/>
    <mergeCell ref="K125:K128"/>
    <mergeCell ref="D122:E122"/>
    <mergeCell ref="D121:E121"/>
    <mergeCell ref="D124:E124"/>
    <mergeCell ref="D125:E125"/>
    <mergeCell ref="D126:E126"/>
    <mergeCell ref="D128:E128"/>
    <mergeCell ref="B129:B132"/>
    <mergeCell ref="I129:I132"/>
    <mergeCell ref="K129:K132"/>
    <mergeCell ref="B133:B136"/>
    <mergeCell ref="B165:B168"/>
    <mergeCell ref="D165:E165"/>
    <mergeCell ref="I165:I168"/>
    <mergeCell ref="K165:K168"/>
    <mergeCell ref="D167:E167"/>
    <mergeCell ref="D168:E168"/>
    <mergeCell ref="B141:B144"/>
    <mergeCell ref="I141:I144"/>
    <mergeCell ref="K141:K144"/>
    <mergeCell ref="K145:K148"/>
    <mergeCell ref="I133:I136"/>
    <mergeCell ref="K133:K136"/>
    <mergeCell ref="D135:E135"/>
    <mergeCell ref="D166:E166"/>
    <mergeCell ref="K157:K160"/>
    <mergeCell ref="D159:E159"/>
    <mergeCell ref="D160:E160"/>
    <mergeCell ref="D142:E142"/>
    <mergeCell ref="D134:E134"/>
    <mergeCell ref="K153:K156"/>
    <mergeCell ref="K192:K195"/>
    <mergeCell ref="I169:I172"/>
    <mergeCell ref="K169:K172"/>
    <mergeCell ref="D170:E170"/>
    <mergeCell ref="D171:E171"/>
    <mergeCell ref="I181:I184"/>
    <mergeCell ref="K173:K176"/>
    <mergeCell ref="D173:E173"/>
    <mergeCell ref="D175:E175"/>
    <mergeCell ref="D176:E176"/>
    <mergeCell ref="D192:E192"/>
    <mergeCell ref="D179:E179"/>
    <mergeCell ref="D180:E180"/>
    <mergeCell ref="D174:E174"/>
    <mergeCell ref="D195:E195"/>
    <mergeCell ref="I173:I176"/>
    <mergeCell ref="D169:E169"/>
    <mergeCell ref="D194:E194"/>
    <mergeCell ref="A1:K1"/>
    <mergeCell ref="I50:I53"/>
    <mergeCell ref="K54:K57"/>
    <mergeCell ref="I58:I61"/>
    <mergeCell ref="K62:K65"/>
    <mergeCell ref="K102:K105"/>
    <mergeCell ref="K90:K93"/>
    <mergeCell ref="I94:I97"/>
    <mergeCell ref="K98:K101"/>
    <mergeCell ref="I102:I105"/>
    <mergeCell ref="I82:I85"/>
    <mergeCell ref="K86:K89"/>
    <mergeCell ref="I90:I93"/>
    <mergeCell ref="K94:K97"/>
    <mergeCell ref="I98:I101"/>
    <mergeCell ref="D17:E17"/>
    <mergeCell ref="D16:E16"/>
    <mergeCell ref="D15:E15"/>
    <mergeCell ref="D26:E26"/>
    <mergeCell ref="D23:E23"/>
    <mergeCell ref="D24:E24"/>
    <mergeCell ref="D25:E25"/>
    <mergeCell ref="D19:E19"/>
    <mergeCell ref="D20:E20"/>
    <mergeCell ref="K70:K73"/>
    <mergeCell ref="I74:I77"/>
    <mergeCell ref="K78:K81"/>
    <mergeCell ref="G339:G342"/>
    <mergeCell ref="G343:G346"/>
    <mergeCell ref="I335:I338"/>
    <mergeCell ref="K339:K342"/>
    <mergeCell ref="K335:K338"/>
    <mergeCell ref="I339:I342"/>
    <mergeCell ref="K74:K77"/>
    <mergeCell ref="I78:I81"/>
    <mergeCell ref="K82:K85"/>
    <mergeCell ref="I86:I89"/>
    <mergeCell ref="I106:I109"/>
    <mergeCell ref="K110:K113"/>
    <mergeCell ref="I120:K120"/>
    <mergeCell ref="K106:K109"/>
    <mergeCell ref="I110:I113"/>
    <mergeCell ref="A118:K118"/>
    <mergeCell ref="D106:E106"/>
    <mergeCell ref="D107:E107"/>
    <mergeCell ref="B137:B140"/>
    <mergeCell ref="B157:B160"/>
    <mergeCell ref="K161:K164"/>
    <mergeCell ref="B359:B362"/>
    <mergeCell ref="B363:B366"/>
    <mergeCell ref="B335:B338"/>
    <mergeCell ref="B339:B342"/>
    <mergeCell ref="B343:B346"/>
    <mergeCell ref="B347:B350"/>
    <mergeCell ref="B351:B354"/>
    <mergeCell ref="B355:B358"/>
    <mergeCell ref="B169:B172"/>
    <mergeCell ref="B212:B215"/>
    <mergeCell ref="B220:B223"/>
    <mergeCell ref="B228:B231"/>
    <mergeCell ref="B236:B239"/>
    <mergeCell ref="B244:B247"/>
    <mergeCell ref="B252:B255"/>
    <mergeCell ref="B267:B270"/>
    <mergeCell ref="B275:B278"/>
    <mergeCell ref="B283:B286"/>
    <mergeCell ref="B291:B294"/>
    <mergeCell ref="B299:B302"/>
    <mergeCell ref="B323:B326"/>
    <mergeCell ref="B208:B211"/>
    <mergeCell ref="B173:B176"/>
    <mergeCell ref="B177:B180"/>
    <mergeCell ref="D365:E365"/>
    <mergeCell ref="D366:E366"/>
    <mergeCell ref="D360:E360"/>
    <mergeCell ref="D361:E361"/>
    <mergeCell ref="D362:E362"/>
    <mergeCell ref="D363:E363"/>
    <mergeCell ref="D359:E359"/>
    <mergeCell ref="D348:E348"/>
    <mergeCell ref="D349:E349"/>
    <mergeCell ref="D350:E350"/>
    <mergeCell ref="D351:E351"/>
    <mergeCell ref="D352:E352"/>
    <mergeCell ref="D353:E353"/>
    <mergeCell ref="D354:E354"/>
    <mergeCell ref="D355:E355"/>
    <mergeCell ref="D356:E356"/>
    <mergeCell ref="D358:E358"/>
    <mergeCell ref="D357:E357"/>
    <mergeCell ref="B82:B85"/>
    <mergeCell ref="B86:B89"/>
    <mergeCell ref="B90:B93"/>
    <mergeCell ref="B94:B97"/>
    <mergeCell ref="B74:B77"/>
    <mergeCell ref="B78:B81"/>
    <mergeCell ref="D89:E89"/>
    <mergeCell ref="D77:E77"/>
    <mergeCell ref="D78:E78"/>
    <mergeCell ref="D95:E95"/>
    <mergeCell ref="D87:E87"/>
    <mergeCell ref="D91:E91"/>
    <mergeCell ref="D88:E88"/>
    <mergeCell ref="B98:B101"/>
    <mergeCell ref="B102:B105"/>
    <mergeCell ref="B106:B109"/>
    <mergeCell ref="B110:B113"/>
    <mergeCell ref="B125:B128"/>
    <mergeCell ref="A260:K260"/>
    <mergeCell ref="D101:E101"/>
    <mergeCell ref="D102:E102"/>
    <mergeCell ref="D129:E129"/>
    <mergeCell ref="D130:E130"/>
    <mergeCell ref="A189:K189"/>
    <mergeCell ref="I137:I140"/>
    <mergeCell ref="K137:K140"/>
    <mergeCell ref="K204:K207"/>
    <mergeCell ref="K200:K203"/>
    <mergeCell ref="D201:E201"/>
    <mergeCell ref="D202:E202"/>
    <mergeCell ref="D151:E151"/>
    <mergeCell ref="D147:E147"/>
    <mergeCell ref="D156:E156"/>
    <mergeCell ref="D157:E157"/>
    <mergeCell ref="B149:B152"/>
    <mergeCell ref="I149:I152"/>
    <mergeCell ref="K149:K152"/>
    <mergeCell ref="B62:B65"/>
    <mergeCell ref="B11:B14"/>
    <mergeCell ref="B15:B18"/>
    <mergeCell ref="B19:B22"/>
    <mergeCell ref="B23:B26"/>
    <mergeCell ref="B27:B30"/>
    <mergeCell ref="B39:B42"/>
    <mergeCell ref="G15:G18"/>
    <mergeCell ref="G19:G22"/>
    <mergeCell ref="G23:G26"/>
    <mergeCell ref="G27:G30"/>
    <mergeCell ref="G31:G34"/>
    <mergeCell ref="D21:E21"/>
    <mergeCell ref="D62:E62"/>
    <mergeCell ref="D54:E54"/>
    <mergeCell ref="D56:E56"/>
    <mergeCell ref="D57:E57"/>
    <mergeCell ref="K31:K34"/>
    <mergeCell ref="I35:I38"/>
    <mergeCell ref="B31:B34"/>
    <mergeCell ref="B35:B38"/>
    <mergeCell ref="D40:E40"/>
    <mergeCell ref="A47:K47"/>
    <mergeCell ref="B50:B53"/>
    <mergeCell ref="B54:B57"/>
    <mergeCell ref="B58:B61"/>
    <mergeCell ref="D42:E42"/>
    <mergeCell ref="D39:E39"/>
    <mergeCell ref="K347:K350"/>
    <mergeCell ref="K343:K346"/>
    <mergeCell ref="I347:I350"/>
    <mergeCell ref="B3:I3"/>
    <mergeCell ref="D49:E49"/>
    <mergeCell ref="D29:E29"/>
    <mergeCell ref="I49:K49"/>
    <mergeCell ref="D50:E50"/>
    <mergeCell ref="D52:E52"/>
    <mergeCell ref="D27:E27"/>
    <mergeCell ref="D28:E28"/>
    <mergeCell ref="K15:K18"/>
    <mergeCell ref="I19:I22"/>
    <mergeCell ref="I15:I18"/>
    <mergeCell ref="K19:K22"/>
    <mergeCell ref="K23:K26"/>
    <mergeCell ref="I27:I30"/>
    <mergeCell ref="I23:I26"/>
    <mergeCell ref="K27:K30"/>
    <mergeCell ref="D18:E18"/>
    <mergeCell ref="B66:B69"/>
    <mergeCell ref="B70:B73"/>
    <mergeCell ref="D60:E60"/>
    <mergeCell ref="D61:E61"/>
    <mergeCell ref="D63:E63"/>
    <mergeCell ref="D67:E67"/>
    <mergeCell ref="D30:E30"/>
    <mergeCell ref="D35:E35"/>
    <mergeCell ref="D36:E36"/>
    <mergeCell ref="K39:K42"/>
    <mergeCell ref="I39:I42"/>
    <mergeCell ref="G35:G38"/>
    <mergeCell ref="G39:G42"/>
    <mergeCell ref="D37:E37"/>
    <mergeCell ref="D31:E31"/>
    <mergeCell ref="I31:I34"/>
    <mergeCell ref="K35:K38"/>
    <mergeCell ref="D32:E32"/>
    <mergeCell ref="D33:E33"/>
    <mergeCell ref="D34:E34"/>
    <mergeCell ref="D38:E38"/>
    <mergeCell ref="D51:E51"/>
    <mergeCell ref="D59:E59"/>
    <mergeCell ref="D53:E53"/>
    <mergeCell ref="D41:E41"/>
    <mergeCell ref="I66:I69"/>
    <mergeCell ref="D162:E162"/>
    <mergeCell ref="D163:E163"/>
    <mergeCell ref="D161:E161"/>
    <mergeCell ref="D291:E291"/>
    <mergeCell ref="D307:E307"/>
    <mergeCell ref="D212:E212"/>
    <mergeCell ref="D55:E55"/>
    <mergeCell ref="D58:E58"/>
    <mergeCell ref="D94:E94"/>
    <mergeCell ref="D96:E96"/>
    <mergeCell ref="D97:E97"/>
    <mergeCell ref="D98:E98"/>
    <mergeCell ref="D64:E64"/>
    <mergeCell ref="D65:E65"/>
    <mergeCell ref="D66:E66"/>
    <mergeCell ref="D68:E68"/>
    <mergeCell ref="D69:E69"/>
    <mergeCell ref="D70:E70"/>
    <mergeCell ref="D82:E82"/>
    <mergeCell ref="D84:E84"/>
    <mergeCell ref="D85:E85"/>
    <mergeCell ref="D79:E79"/>
    <mergeCell ref="D90:E90"/>
    <mergeCell ref="D92:E92"/>
    <mergeCell ref="D141:E141"/>
    <mergeCell ref="D143:E143"/>
    <mergeCell ref="D71:E71"/>
    <mergeCell ref="D75:E75"/>
    <mergeCell ref="D83:E83"/>
    <mergeCell ref="D105:E105"/>
    <mergeCell ref="D72:E72"/>
    <mergeCell ref="D73:E73"/>
    <mergeCell ref="D80:E80"/>
    <mergeCell ref="D86:E86"/>
    <mergeCell ref="D104:E104"/>
    <mergeCell ref="D100:E100"/>
    <mergeCell ref="D99:E99"/>
    <mergeCell ref="D81:E81"/>
    <mergeCell ref="D74:E74"/>
    <mergeCell ref="D76:E76"/>
    <mergeCell ref="D93:E93"/>
    <mergeCell ref="D13:E13"/>
    <mergeCell ref="D14:E14"/>
    <mergeCell ref="K11:K14"/>
    <mergeCell ref="G11:G14"/>
    <mergeCell ref="D364:E364"/>
    <mergeCell ref="D346:E346"/>
    <mergeCell ref="D347:E347"/>
    <mergeCell ref="D333:E333"/>
    <mergeCell ref="I333:K333"/>
    <mergeCell ref="D340:E340"/>
    <mergeCell ref="D341:E341"/>
    <mergeCell ref="D339:E339"/>
    <mergeCell ref="D342:E342"/>
    <mergeCell ref="D136:E136"/>
    <mergeCell ref="D137:E137"/>
    <mergeCell ref="D138:E138"/>
    <mergeCell ref="D139:E139"/>
    <mergeCell ref="D140:E140"/>
    <mergeCell ref="D172:E172"/>
    <mergeCell ref="D152:E152"/>
    <mergeCell ref="D11:E11"/>
    <mergeCell ref="D12:E12"/>
    <mergeCell ref="D112:E112"/>
    <mergeCell ref="D110:E110"/>
    <mergeCell ref="K359:K362"/>
    <mergeCell ref="I363:I366"/>
    <mergeCell ref="I351:I354"/>
    <mergeCell ref="K355:K358"/>
    <mergeCell ref="I359:I362"/>
    <mergeCell ref="K363:K366"/>
    <mergeCell ref="K351:K354"/>
    <mergeCell ref="I355:I358"/>
    <mergeCell ref="A7:K7"/>
    <mergeCell ref="K50:K53"/>
    <mergeCell ref="I54:I57"/>
    <mergeCell ref="D22:E22"/>
    <mergeCell ref="A331:K331"/>
    <mergeCell ref="D338:E338"/>
    <mergeCell ref="D336:E336"/>
    <mergeCell ref="D337:E337"/>
    <mergeCell ref="K58:K61"/>
    <mergeCell ref="I62:I65"/>
    <mergeCell ref="K66:K69"/>
    <mergeCell ref="I70:I73"/>
    <mergeCell ref="D9:E9"/>
    <mergeCell ref="I9:K9"/>
    <mergeCell ref="I343:I346"/>
    <mergeCell ref="D113:E113"/>
    <mergeCell ref="D164:E164"/>
    <mergeCell ref="D193:E193"/>
    <mergeCell ref="D191:E191"/>
    <mergeCell ref="D199:E199"/>
    <mergeCell ref="D203:E203"/>
    <mergeCell ref="F335:F338"/>
    <mergeCell ref="F339:F342"/>
    <mergeCell ref="D323:E323"/>
    <mergeCell ref="F343:F346"/>
    <mergeCell ref="D343:E343"/>
    <mergeCell ref="D344:E344"/>
    <mergeCell ref="D345:E345"/>
    <mergeCell ref="D335:E335"/>
    <mergeCell ref="D309:E309"/>
    <mergeCell ref="D310:E310"/>
    <mergeCell ref="D308:E308"/>
    <mergeCell ref="D322:E322"/>
    <mergeCell ref="D320:E320"/>
    <mergeCell ref="F347:F350"/>
    <mergeCell ref="F351:F354"/>
    <mergeCell ref="F355:F358"/>
    <mergeCell ref="F359:F362"/>
    <mergeCell ref="F363:F366"/>
    <mergeCell ref="I11:I14"/>
    <mergeCell ref="F11:F14"/>
    <mergeCell ref="F15:F18"/>
    <mergeCell ref="F19:F22"/>
    <mergeCell ref="F23:F26"/>
    <mergeCell ref="F27:F30"/>
    <mergeCell ref="F31:F34"/>
    <mergeCell ref="F35:F38"/>
    <mergeCell ref="F39:F42"/>
    <mergeCell ref="G351:G354"/>
    <mergeCell ref="G355:G358"/>
    <mergeCell ref="G359:G362"/>
    <mergeCell ref="G335:G338"/>
    <mergeCell ref="G363:G366"/>
    <mergeCell ref="G347:G350"/>
    <mergeCell ref="I192:I195"/>
    <mergeCell ref="I161:I164"/>
    <mergeCell ref="I208:I211"/>
    <mergeCell ref="I157:I160"/>
  </mergeCells>
  <phoneticPr fontId="0" type="noConversion"/>
  <printOptions horizontalCentered="1"/>
  <pageMargins left="0.19685039370078741" right="0.19685039370078741" top="0.39370078740157483" bottom="0.39370078740157483" header="0.11811023622047245" footer="0.11811023622047245"/>
  <pageSetup paperSize="9" scale="93" fitToHeight="6" orientation="portrait" horizontalDpi="300" verticalDpi="300"/>
  <headerFooter alignWithMargins="0">
    <oddFooter>&amp;CPERSONAL AND CONFIDENTIAL
&amp;P</oddFooter>
  </headerFooter>
  <rowBreaks count="5" manualBreakCount="5">
    <brk id="45" max="8" man="1"/>
    <brk id="116" max="10" man="1"/>
    <brk id="187" max="10" man="1"/>
    <brk id="258" max="10" man="1"/>
    <brk id="329" max="8" man="1"/>
  </rowBreaks>
  <ignoredErrors>
    <ignoredError sqref="B319 B311 B303 B295 B287 B279 B271 B267 B275 B283 B291 B299 B307 B315 B196 B204 B212 B220 B228 B240 B248 B177 B169 B161 B153 B145 B137 B129 B106 B102 B94 B86 B78 B70 B62 B54 B58 B125" formula="1"/>
  </ignoredErrors>
  <drawing r:id="rId1"/>
  <legacyDrawing r:id="rId2"/>
</worksheet>
</file>

<file path=xl/worksheets/sheet7.xml><?xml version="1.0" encoding="utf-8"?>
<worksheet xmlns="http://schemas.openxmlformats.org/spreadsheetml/2006/main" xmlns:r="http://schemas.openxmlformats.org/officeDocument/2006/relationships">
  <sheetPr codeName="Sheet4">
    <tabColor rgb="FF00B050"/>
    <pageSetUpPr fitToPage="1"/>
  </sheetPr>
  <dimension ref="B1:G73"/>
  <sheetViews>
    <sheetView topLeftCell="A34" zoomScaleNormal="100" workbookViewId="0">
      <selection activeCell="E40" sqref="E40:E43"/>
    </sheetView>
  </sheetViews>
  <sheetFormatPr defaultRowHeight="12.75"/>
  <cols>
    <col min="1" max="1" width="3.5703125" style="1" customWidth="1"/>
    <col min="2" max="2" width="18.140625" style="1" customWidth="1"/>
    <col min="3" max="3" width="16.28515625" style="1" customWidth="1"/>
    <col min="4" max="4" width="13.28515625" style="59" customWidth="1"/>
    <col min="5" max="5" width="18.140625" style="1" customWidth="1"/>
    <col min="6" max="6" width="16.28515625" style="1" customWidth="1"/>
    <col min="7" max="7" width="13.28515625" style="59" customWidth="1"/>
    <col min="8" max="16384" width="9.140625" style="1"/>
  </cols>
  <sheetData>
    <row r="1" spans="2:7">
      <c r="B1" s="426" t="str">
        <f>RecordingSheet!B3</f>
        <v>Lisburn 231 v Limavady 169</v>
      </c>
      <c r="C1" s="426"/>
      <c r="D1" s="426"/>
      <c r="E1" s="426"/>
      <c r="F1" s="426"/>
      <c r="G1" s="426"/>
    </row>
    <row r="2" spans="2:7" s="28" customFormat="1" ht="9" customHeight="1" thickBot="1">
      <c r="B2" s="65"/>
      <c r="C2" s="65"/>
      <c r="D2" s="64"/>
      <c r="E2" s="65"/>
      <c r="F2" s="66"/>
      <c r="G2" s="66"/>
    </row>
    <row r="3" spans="2:7" s="28" customFormat="1" ht="16.5" thickBot="1">
      <c r="B3" s="427" t="s">
        <v>34</v>
      </c>
      <c r="C3" s="428"/>
      <c r="D3" s="429"/>
      <c r="E3" s="428" t="s">
        <v>35</v>
      </c>
      <c r="F3" s="428"/>
      <c r="G3" s="429"/>
    </row>
    <row r="4" spans="2:7" s="28" customFormat="1" ht="13.5" customHeight="1">
      <c r="B4" s="423" t="s">
        <v>21</v>
      </c>
      <c r="C4" s="93">
        <f>RecordingSheet!D54</f>
        <v>0</v>
      </c>
      <c r="D4" s="171" t="e">
        <f>RecordingSheet!#REF!</f>
        <v>#REF!</v>
      </c>
      <c r="E4" s="420" t="s">
        <v>21</v>
      </c>
      <c r="F4" s="93">
        <f>RecordingSheet!D62</f>
        <v>0</v>
      </c>
      <c r="G4" s="171" t="e">
        <f>RecordingSheet!#REF!</f>
        <v>#REF!</v>
      </c>
    </row>
    <row r="5" spans="2:7" s="28" customFormat="1" ht="13.5" customHeight="1">
      <c r="B5" s="424"/>
      <c r="C5" s="99">
        <f>RecordingSheet!D55</f>
        <v>0</v>
      </c>
      <c r="D5" s="172" t="e">
        <f>RecordingSheet!#REF!</f>
        <v>#REF!</v>
      </c>
      <c r="E5" s="421"/>
      <c r="F5" s="99">
        <f>RecordingSheet!D63</f>
        <v>0</v>
      </c>
      <c r="G5" s="172" t="e">
        <f>RecordingSheet!#REF!</f>
        <v>#REF!</v>
      </c>
    </row>
    <row r="6" spans="2:7" s="28" customFormat="1" ht="13.5" customHeight="1">
      <c r="B6" s="424"/>
      <c r="C6" s="94">
        <f>RecordingSheet!D56</f>
        <v>0</v>
      </c>
      <c r="D6" s="173" t="e">
        <f>RecordingSheet!#REF!</f>
        <v>#REF!</v>
      </c>
      <c r="E6" s="421"/>
      <c r="F6" s="94">
        <f>RecordingSheet!D64</f>
        <v>0</v>
      </c>
      <c r="G6" s="173" t="e">
        <f>RecordingSheet!#REF!</f>
        <v>#REF!</v>
      </c>
    </row>
    <row r="7" spans="2:7" s="28" customFormat="1" ht="13.5" customHeight="1" thickBot="1">
      <c r="B7" s="425"/>
      <c r="C7" s="92">
        <f>RecordingSheet!D57</f>
        <v>0</v>
      </c>
      <c r="D7" s="174" t="e">
        <f>RecordingSheet!#REF!</f>
        <v>#REF!</v>
      </c>
      <c r="E7" s="422"/>
      <c r="F7" s="92">
        <f>RecordingSheet!D65</f>
        <v>0</v>
      </c>
      <c r="G7" s="174" t="e">
        <f>RecordingSheet!#REF!</f>
        <v>#REF!</v>
      </c>
    </row>
    <row r="8" spans="2:7" s="28" customFormat="1" ht="13.5" customHeight="1">
      <c r="B8" s="423" t="s">
        <v>20</v>
      </c>
      <c r="C8" s="93">
        <f>RecordingSheet!D125</f>
        <v>0</v>
      </c>
      <c r="D8" s="171" t="e">
        <f>RecordingSheet!#REF!</f>
        <v>#REF!</v>
      </c>
      <c r="E8" s="420" t="s">
        <v>20</v>
      </c>
      <c r="F8" s="93">
        <f>RecordingSheet!D133</f>
        <v>0</v>
      </c>
      <c r="G8" s="171" t="e">
        <f>RecordingSheet!#REF!</f>
        <v>#REF!</v>
      </c>
    </row>
    <row r="9" spans="2:7" s="28" customFormat="1" ht="13.5" customHeight="1">
      <c r="B9" s="424"/>
      <c r="C9" s="99">
        <f>RecordingSheet!D126</f>
        <v>0</v>
      </c>
      <c r="D9" s="172" t="e">
        <f>RecordingSheet!#REF!</f>
        <v>#REF!</v>
      </c>
      <c r="E9" s="421"/>
      <c r="F9" s="99">
        <f>RecordingSheet!D134</f>
        <v>0</v>
      </c>
      <c r="G9" s="172" t="e">
        <f>RecordingSheet!#REF!</f>
        <v>#REF!</v>
      </c>
    </row>
    <row r="10" spans="2:7" s="28" customFormat="1" ht="13.5" customHeight="1">
      <c r="B10" s="424"/>
      <c r="C10" s="94">
        <f>RecordingSheet!D127</f>
        <v>0</v>
      </c>
      <c r="D10" s="173" t="e">
        <f>RecordingSheet!#REF!</f>
        <v>#REF!</v>
      </c>
      <c r="E10" s="421"/>
      <c r="F10" s="94">
        <f>RecordingSheet!D135</f>
        <v>0</v>
      </c>
      <c r="G10" s="173" t="e">
        <f>RecordingSheet!#REF!</f>
        <v>#REF!</v>
      </c>
    </row>
    <row r="11" spans="2:7" s="28" customFormat="1" ht="13.5" customHeight="1" thickBot="1">
      <c r="B11" s="425"/>
      <c r="C11" s="92">
        <f>RecordingSheet!D128</f>
        <v>0</v>
      </c>
      <c r="D11" s="174" t="e">
        <f>RecordingSheet!#REF!</f>
        <v>#REF!</v>
      </c>
      <c r="E11" s="422"/>
      <c r="F11" s="92">
        <f>RecordingSheet!D136</f>
        <v>0</v>
      </c>
      <c r="G11" s="174" t="e">
        <f>RecordingSheet!#REF!</f>
        <v>#REF!</v>
      </c>
    </row>
    <row r="12" spans="2:7" s="28" customFormat="1" ht="13.5" customHeight="1">
      <c r="B12" s="423" t="s">
        <v>19</v>
      </c>
      <c r="C12" s="93">
        <f>RecordingSheet!D196</f>
        <v>0</v>
      </c>
      <c r="D12" s="171" t="e">
        <f>RecordingSheet!#REF!</f>
        <v>#REF!</v>
      </c>
      <c r="E12" s="420" t="s">
        <v>19</v>
      </c>
      <c r="F12" s="93">
        <f>RecordingSheet!D204</f>
        <v>0</v>
      </c>
      <c r="G12" s="171" t="e">
        <f>RecordingSheet!#REF!</f>
        <v>#REF!</v>
      </c>
    </row>
    <row r="13" spans="2:7" s="28" customFormat="1" ht="13.5" customHeight="1">
      <c r="B13" s="424"/>
      <c r="C13" s="99">
        <f>RecordingSheet!D197</f>
        <v>0</v>
      </c>
      <c r="D13" s="172" t="e">
        <f>RecordingSheet!#REF!</f>
        <v>#REF!</v>
      </c>
      <c r="E13" s="421"/>
      <c r="F13" s="99">
        <f>RecordingSheet!D205</f>
        <v>0</v>
      </c>
      <c r="G13" s="172" t="e">
        <f>RecordingSheet!#REF!</f>
        <v>#REF!</v>
      </c>
    </row>
    <row r="14" spans="2:7" s="28" customFormat="1" ht="13.5" customHeight="1">
      <c r="B14" s="424"/>
      <c r="C14" s="94">
        <f>RecordingSheet!D198</f>
        <v>0</v>
      </c>
      <c r="D14" s="173" t="e">
        <f>RecordingSheet!#REF!</f>
        <v>#REF!</v>
      </c>
      <c r="E14" s="421"/>
      <c r="F14" s="94">
        <f>RecordingSheet!D206</f>
        <v>0</v>
      </c>
      <c r="G14" s="173" t="e">
        <f>RecordingSheet!#REF!</f>
        <v>#REF!</v>
      </c>
    </row>
    <row r="15" spans="2:7" s="28" customFormat="1" ht="13.5" customHeight="1" thickBot="1">
      <c r="B15" s="425"/>
      <c r="C15" s="92">
        <f>RecordingSheet!D199</f>
        <v>0</v>
      </c>
      <c r="D15" s="174" t="e">
        <f>RecordingSheet!#REF!</f>
        <v>#REF!</v>
      </c>
      <c r="E15" s="422"/>
      <c r="F15" s="92">
        <f>RecordingSheet!D207</f>
        <v>0</v>
      </c>
      <c r="G15" s="174" t="e">
        <f>RecordingSheet!#REF!</f>
        <v>#REF!</v>
      </c>
    </row>
    <row r="16" spans="2:7" s="28" customFormat="1" ht="13.5" customHeight="1">
      <c r="B16" s="423" t="s">
        <v>23</v>
      </c>
      <c r="C16" s="93">
        <f>RecordingSheet!D267</f>
        <v>0</v>
      </c>
      <c r="D16" s="171" t="e">
        <f>RecordingSheet!#REF!</f>
        <v>#REF!</v>
      </c>
      <c r="E16" s="420" t="s">
        <v>23</v>
      </c>
      <c r="F16" s="93">
        <f>RecordingSheet!D275</f>
        <v>0</v>
      </c>
      <c r="G16" s="171" t="e">
        <f>RecordingSheet!#REF!</f>
        <v>#REF!</v>
      </c>
    </row>
    <row r="17" spans="2:7" s="28" customFormat="1" ht="13.5" customHeight="1">
      <c r="B17" s="424"/>
      <c r="C17" s="99">
        <f>RecordingSheet!D268</f>
        <v>0</v>
      </c>
      <c r="D17" s="172" t="e">
        <f>RecordingSheet!#REF!</f>
        <v>#REF!</v>
      </c>
      <c r="E17" s="421"/>
      <c r="F17" s="99">
        <f>RecordingSheet!D276</f>
        <v>0</v>
      </c>
      <c r="G17" s="172" t="e">
        <f>RecordingSheet!#REF!</f>
        <v>#REF!</v>
      </c>
    </row>
    <row r="18" spans="2:7" s="28" customFormat="1" ht="13.5" customHeight="1">
      <c r="B18" s="424"/>
      <c r="C18" s="94">
        <f>RecordingSheet!D269</f>
        <v>0</v>
      </c>
      <c r="D18" s="173" t="e">
        <f>RecordingSheet!#REF!</f>
        <v>#REF!</v>
      </c>
      <c r="E18" s="421"/>
      <c r="F18" s="94">
        <f>RecordingSheet!D277</f>
        <v>0</v>
      </c>
      <c r="G18" s="173" t="e">
        <f>RecordingSheet!#REF!</f>
        <v>#REF!</v>
      </c>
    </row>
    <row r="19" spans="2:7" s="28" customFormat="1" ht="13.5" customHeight="1" thickBot="1">
      <c r="B19" s="425"/>
      <c r="C19" s="92">
        <f>RecordingSheet!D270</f>
        <v>0</v>
      </c>
      <c r="D19" s="174" t="e">
        <f>RecordingSheet!#REF!</f>
        <v>#REF!</v>
      </c>
      <c r="E19" s="422"/>
      <c r="F19" s="92">
        <f>RecordingSheet!D278</f>
        <v>0</v>
      </c>
      <c r="G19" s="174" t="e">
        <f>RecordingSheet!#REF!</f>
        <v>#REF!</v>
      </c>
    </row>
    <row r="20" spans="2:7" s="28" customFormat="1" ht="16.5" thickBot="1">
      <c r="B20" s="65"/>
      <c r="C20" s="65"/>
      <c r="D20" s="64"/>
      <c r="E20" s="65"/>
      <c r="F20" s="66"/>
      <c r="G20" s="66"/>
    </row>
    <row r="21" spans="2:7" s="28" customFormat="1" ht="16.5" thickBot="1">
      <c r="B21" s="427" t="s">
        <v>36</v>
      </c>
      <c r="C21" s="428"/>
      <c r="D21" s="429"/>
      <c r="E21" s="428" t="s">
        <v>37</v>
      </c>
      <c r="F21" s="428"/>
      <c r="G21" s="429"/>
    </row>
    <row r="22" spans="2:7" s="28" customFormat="1" ht="13.5" customHeight="1">
      <c r="B22" s="423" t="s">
        <v>21</v>
      </c>
      <c r="C22" s="93">
        <f>RecordingSheet!D70</f>
        <v>0</v>
      </c>
      <c r="D22" s="171" t="e">
        <f>RecordingSheet!#REF!</f>
        <v>#REF!</v>
      </c>
      <c r="E22" s="420" t="s">
        <v>21</v>
      </c>
      <c r="F22" s="93">
        <f>RecordingSheet!D78</f>
        <v>0</v>
      </c>
      <c r="G22" s="171" t="e">
        <f>RecordingSheet!#REF!</f>
        <v>#REF!</v>
      </c>
    </row>
    <row r="23" spans="2:7" s="28" customFormat="1" ht="13.5" customHeight="1">
      <c r="B23" s="424"/>
      <c r="C23" s="99">
        <f>RecordingSheet!D71</f>
        <v>0</v>
      </c>
      <c r="D23" s="172" t="e">
        <f>RecordingSheet!#REF!</f>
        <v>#REF!</v>
      </c>
      <c r="E23" s="421"/>
      <c r="F23" s="99">
        <f>RecordingSheet!D79</f>
        <v>0</v>
      </c>
      <c r="G23" s="172" t="e">
        <f>RecordingSheet!#REF!</f>
        <v>#REF!</v>
      </c>
    </row>
    <row r="24" spans="2:7" s="28" customFormat="1" ht="13.5" customHeight="1">
      <c r="B24" s="424"/>
      <c r="C24" s="94">
        <f>RecordingSheet!D72</f>
        <v>0</v>
      </c>
      <c r="D24" s="173" t="e">
        <f>RecordingSheet!#REF!</f>
        <v>#REF!</v>
      </c>
      <c r="E24" s="421"/>
      <c r="F24" s="94">
        <f>RecordingSheet!D80</f>
        <v>0</v>
      </c>
      <c r="G24" s="173" t="e">
        <f>RecordingSheet!#REF!</f>
        <v>#REF!</v>
      </c>
    </row>
    <row r="25" spans="2:7" s="28" customFormat="1" ht="13.5" customHeight="1" thickBot="1">
      <c r="B25" s="425"/>
      <c r="C25" s="92">
        <f>RecordingSheet!D73</f>
        <v>0</v>
      </c>
      <c r="D25" s="174" t="e">
        <f>RecordingSheet!#REF!</f>
        <v>#REF!</v>
      </c>
      <c r="E25" s="422"/>
      <c r="F25" s="92">
        <f>RecordingSheet!D81</f>
        <v>0</v>
      </c>
      <c r="G25" s="174" t="e">
        <f>RecordingSheet!#REF!</f>
        <v>#REF!</v>
      </c>
    </row>
    <row r="26" spans="2:7" ht="13.5" customHeight="1">
      <c r="B26" s="423" t="s">
        <v>20</v>
      </c>
      <c r="C26" s="93">
        <f>RecordingSheet!D141</f>
        <v>0</v>
      </c>
      <c r="D26" s="171" t="e">
        <f>RecordingSheet!#REF!</f>
        <v>#REF!</v>
      </c>
      <c r="E26" s="420" t="s">
        <v>20</v>
      </c>
      <c r="F26" s="93">
        <f>RecordingSheet!D149</f>
        <v>0</v>
      </c>
      <c r="G26" s="171" t="e">
        <f>RecordingSheet!#REF!</f>
        <v>#REF!</v>
      </c>
    </row>
    <row r="27" spans="2:7" ht="13.5" customHeight="1">
      <c r="B27" s="424"/>
      <c r="C27" s="99">
        <f>RecordingSheet!D142</f>
        <v>0</v>
      </c>
      <c r="D27" s="172" t="e">
        <f>RecordingSheet!#REF!</f>
        <v>#REF!</v>
      </c>
      <c r="E27" s="421"/>
      <c r="F27" s="99">
        <f>RecordingSheet!D150</f>
        <v>0</v>
      </c>
      <c r="G27" s="172" t="e">
        <f>RecordingSheet!#REF!</f>
        <v>#REF!</v>
      </c>
    </row>
    <row r="28" spans="2:7" ht="13.5" customHeight="1">
      <c r="B28" s="424"/>
      <c r="C28" s="94">
        <f>RecordingSheet!D143</f>
        <v>0</v>
      </c>
      <c r="D28" s="173" t="e">
        <f>RecordingSheet!#REF!</f>
        <v>#REF!</v>
      </c>
      <c r="E28" s="421"/>
      <c r="F28" s="94">
        <f>RecordingSheet!D151</f>
        <v>0</v>
      </c>
      <c r="G28" s="173" t="e">
        <f>RecordingSheet!#REF!</f>
        <v>#REF!</v>
      </c>
    </row>
    <row r="29" spans="2:7" ht="13.5" customHeight="1" thickBot="1">
      <c r="B29" s="425"/>
      <c r="C29" s="92">
        <f>RecordingSheet!D144</f>
        <v>0</v>
      </c>
      <c r="D29" s="174" t="e">
        <f>RecordingSheet!#REF!</f>
        <v>#REF!</v>
      </c>
      <c r="E29" s="422"/>
      <c r="F29" s="92">
        <f>RecordingSheet!D152</f>
        <v>0</v>
      </c>
      <c r="G29" s="174" t="e">
        <f>RecordingSheet!#REF!</f>
        <v>#REF!</v>
      </c>
    </row>
    <row r="30" spans="2:7" ht="13.5" customHeight="1">
      <c r="B30" s="423" t="s">
        <v>19</v>
      </c>
      <c r="C30" s="93">
        <f>RecordingSheet!D212</f>
        <v>0</v>
      </c>
      <c r="D30" s="171" t="e">
        <f>RecordingSheet!#REF!</f>
        <v>#REF!</v>
      </c>
      <c r="E30" s="420" t="s">
        <v>19</v>
      </c>
      <c r="F30" s="93">
        <f>RecordingSheet!D220</f>
        <v>0</v>
      </c>
      <c r="G30" s="171" t="e">
        <f>RecordingSheet!#REF!</f>
        <v>#REF!</v>
      </c>
    </row>
    <row r="31" spans="2:7" ht="13.5" customHeight="1">
      <c r="B31" s="424"/>
      <c r="C31" s="99">
        <f>RecordingSheet!D213</f>
        <v>0</v>
      </c>
      <c r="D31" s="172" t="e">
        <f>RecordingSheet!#REF!</f>
        <v>#REF!</v>
      </c>
      <c r="E31" s="421"/>
      <c r="F31" s="99">
        <f>RecordingSheet!D221</f>
        <v>0</v>
      </c>
      <c r="G31" s="172" t="e">
        <f>RecordingSheet!#REF!</f>
        <v>#REF!</v>
      </c>
    </row>
    <row r="32" spans="2:7" ht="13.5" customHeight="1">
      <c r="B32" s="424"/>
      <c r="C32" s="94">
        <f>RecordingSheet!D214</f>
        <v>0</v>
      </c>
      <c r="D32" s="173" t="e">
        <f>RecordingSheet!#REF!</f>
        <v>#REF!</v>
      </c>
      <c r="E32" s="421"/>
      <c r="F32" s="94">
        <f>RecordingSheet!D222</f>
        <v>0</v>
      </c>
      <c r="G32" s="173" t="e">
        <f>RecordingSheet!#REF!</f>
        <v>#REF!</v>
      </c>
    </row>
    <row r="33" spans="2:7" ht="13.5" customHeight="1" thickBot="1">
      <c r="B33" s="425"/>
      <c r="C33" s="92">
        <f>RecordingSheet!D215</f>
        <v>0</v>
      </c>
      <c r="D33" s="174" t="e">
        <f>RecordingSheet!#REF!</f>
        <v>#REF!</v>
      </c>
      <c r="E33" s="422"/>
      <c r="F33" s="92">
        <f>RecordingSheet!D223</f>
        <v>0</v>
      </c>
      <c r="G33" s="174" t="e">
        <f>RecordingSheet!#REF!</f>
        <v>#REF!</v>
      </c>
    </row>
    <row r="34" spans="2:7" ht="13.5" customHeight="1">
      <c r="B34" s="423" t="s">
        <v>23</v>
      </c>
      <c r="C34" s="93">
        <f>RecordingSheet!D283</f>
        <v>0</v>
      </c>
      <c r="D34" s="171" t="e">
        <f>RecordingSheet!#REF!</f>
        <v>#REF!</v>
      </c>
      <c r="E34" s="420" t="s">
        <v>23</v>
      </c>
      <c r="F34" s="93">
        <f>RecordingSheet!D291</f>
        <v>0</v>
      </c>
      <c r="G34" s="171">
        <f>RecordingSheet!E291</f>
        <v>0</v>
      </c>
    </row>
    <row r="35" spans="2:7" ht="13.5" customHeight="1">
      <c r="B35" s="424"/>
      <c r="C35" s="99">
        <f>RecordingSheet!D284</f>
        <v>0</v>
      </c>
      <c r="D35" s="172" t="e">
        <f>RecordingSheet!#REF!</f>
        <v>#REF!</v>
      </c>
      <c r="E35" s="421"/>
      <c r="F35" s="99">
        <f>RecordingSheet!D292</f>
        <v>0</v>
      </c>
      <c r="G35" s="172">
        <f>RecordingSheet!E292</f>
        <v>0</v>
      </c>
    </row>
    <row r="36" spans="2:7" ht="13.5" customHeight="1">
      <c r="B36" s="424"/>
      <c r="C36" s="94">
        <f>RecordingSheet!D285</f>
        <v>0</v>
      </c>
      <c r="D36" s="173" t="e">
        <f>RecordingSheet!#REF!</f>
        <v>#REF!</v>
      </c>
      <c r="E36" s="421"/>
      <c r="F36" s="94">
        <f>RecordingSheet!D293</f>
        <v>0</v>
      </c>
      <c r="G36" s="173">
        <f>RecordingSheet!E293</f>
        <v>0</v>
      </c>
    </row>
    <row r="37" spans="2:7" ht="13.5" customHeight="1" thickBot="1">
      <c r="B37" s="425"/>
      <c r="C37" s="92">
        <f>RecordingSheet!D286</f>
        <v>0</v>
      </c>
      <c r="D37" s="174" t="e">
        <f>RecordingSheet!#REF!</f>
        <v>#REF!</v>
      </c>
      <c r="E37" s="422"/>
      <c r="F37" s="92">
        <f>RecordingSheet!D294</f>
        <v>0</v>
      </c>
      <c r="G37" s="174">
        <f>RecordingSheet!E294</f>
        <v>0</v>
      </c>
    </row>
    <row r="38" spans="2:7" s="28" customFormat="1" ht="16.5" thickBot="1">
      <c r="B38" s="65"/>
      <c r="C38" s="65"/>
      <c r="D38" s="64"/>
      <c r="E38" s="65"/>
      <c r="F38" s="66"/>
      <c r="G38" s="66"/>
    </row>
    <row r="39" spans="2:7" s="28" customFormat="1" ht="16.5" thickBot="1">
      <c r="B39" s="427" t="s">
        <v>38</v>
      </c>
      <c r="C39" s="428"/>
      <c r="D39" s="429"/>
      <c r="E39" s="428" t="s">
        <v>39</v>
      </c>
      <c r="F39" s="428"/>
      <c r="G39" s="429"/>
    </row>
    <row r="40" spans="2:7" s="28" customFormat="1" ht="13.5" customHeight="1">
      <c r="B40" s="423" t="s">
        <v>21</v>
      </c>
      <c r="C40" s="93">
        <f>RecordingSheet!D86</f>
        <v>0</v>
      </c>
      <c r="D40" s="171" t="e">
        <f>RecordingSheet!#REF!</f>
        <v>#REF!</v>
      </c>
      <c r="E40" s="420" t="s">
        <v>21</v>
      </c>
      <c r="F40" s="93">
        <f>RecordingSheet!D94</f>
        <v>0</v>
      </c>
      <c r="G40" s="171" t="e">
        <f>RecordingSheet!#REF!</f>
        <v>#REF!</v>
      </c>
    </row>
    <row r="41" spans="2:7" s="28" customFormat="1" ht="13.5" customHeight="1">
      <c r="B41" s="424"/>
      <c r="C41" s="99">
        <f>RecordingSheet!D87</f>
        <v>0</v>
      </c>
      <c r="D41" s="172" t="e">
        <f>RecordingSheet!#REF!</f>
        <v>#REF!</v>
      </c>
      <c r="E41" s="421"/>
      <c r="F41" s="99">
        <f>RecordingSheet!D95</f>
        <v>0</v>
      </c>
      <c r="G41" s="172" t="e">
        <f>RecordingSheet!#REF!</f>
        <v>#REF!</v>
      </c>
    </row>
    <row r="42" spans="2:7" s="28" customFormat="1" ht="13.5" customHeight="1">
      <c r="B42" s="424"/>
      <c r="C42" s="94">
        <f>RecordingSheet!D88</f>
        <v>0</v>
      </c>
      <c r="D42" s="173" t="e">
        <f>RecordingSheet!#REF!</f>
        <v>#REF!</v>
      </c>
      <c r="E42" s="421"/>
      <c r="F42" s="94">
        <f>RecordingSheet!D96</f>
        <v>0</v>
      </c>
      <c r="G42" s="173" t="e">
        <f>RecordingSheet!#REF!</f>
        <v>#REF!</v>
      </c>
    </row>
    <row r="43" spans="2:7" s="28" customFormat="1" ht="13.5" customHeight="1" thickBot="1">
      <c r="B43" s="425"/>
      <c r="C43" s="92">
        <f>RecordingSheet!D89</f>
        <v>0</v>
      </c>
      <c r="D43" s="174" t="e">
        <f>RecordingSheet!#REF!</f>
        <v>#REF!</v>
      </c>
      <c r="E43" s="422"/>
      <c r="F43" s="92">
        <f>RecordingSheet!D97</f>
        <v>0</v>
      </c>
      <c r="G43" s="174" t="e">
        <f>RecordingSheet!#REF!</f>
        <v>#REF!</v>
      </c>
    </row>
    <row r="44" spans="2:7" ht="13.5" customHeight="1">
      <c r="B44" s="423" t="s">
        <v>20</v>
      </c>
      <c r="C44" s="93">
        <f>RecordingSheet!D157</f>
        <v>0</v>
      </c>
      <c r="D44" s="171" t="e">
        <f>RecordingSheet!#REF!</f>
        <v>#REF!</v>
      </c>
      <c r="E44" s="420" t="s">
        <v>20</v>
      </c>
      <c r="F44" s="93">
        <f>RecordingSheet!D165</f>
        <v>0</v>
      </c>
      <c r="G44" s="171" t="e">
        <f>RecordingSheet!#REF!</f>
        <v>#REF!</v>
      </c>
    </row>
    <row r="45" spans="2:7" ht="13.5" customHeight="1">
      <c r="B45" s="424"/>
      <c r="C45" s="99">
        <f>RecordingSheet!D158</f>
        <v>0</v>
      </c>
      <c r="D45" s="172" t="e">
        <f>RecordingSheet!#REF!</f>
        <v>#REF!</v>
      </c>
      <c r="E45" s="421"/>
      <c r="F45" s="99">
        <f>RecordingSheet!D166</f>
        <v>0</v>
      </c>
      <c r="G45" s="172" t="e">
        <f>RecordingSheet!#REF!</f>
        <v>#REF!</v>
      </c>
    </row>
    <row r="46" spans="2:7" ht="13.5" customHeight="1">
      <c r="B46" s="424"/>
      <c r="C46" s="94">
        <f>RecordingSheet!D159</f>
        <v>0</v>
      </c>
      <c r="D46" s="173" t="e">
        <f>RecordingSheet!#REF!</f>
        <v>#REF!</v>
      </c>
      <c r="E46" s="421"/>
      <c r="F46" s="94">
        <f>RecordingSheet!D167</f>
        <v>0</v>
      </c>
      <c r="G46" s="173" t="e">
        <f>RecordingSheet!#REF!</f>
        <v>#REF!</v>
      </c>
    </row>
    <row r="47" spans="2:7" ht="13.5" customHeight="1" thickBot="1">
      <c r="B47" s="425"/>
      <c r="C47" s="92">
        <f>RecordingSheet!D160</f>
        <v>0</v>
      </c>
      <c r="D47" s="174" t="e">
        <f>RecordingSheet!#REF!</f>
        <v>#REF!</v>
      </c>
      <c r="E47" s="422"/>
      <c r="F47" s="92">
        <f>RecordingSheet!D168</f>
        <v>0</v>
      </c>
      <c r="G47" s="174" t="e">
        <f>RecordingSheet!#REF!</f>
        <v>#REF!</v>
      </c>
    </row>
    <row r="48" spans="2:7" ht="13.5" customHeight="1">
      <c r="B48" s="423" t="s">
        <v>19</v>
      </c>
      <c r="C48" s="93">
        <f>RecordingSheet!D228</f>
        <v>0</v>
      </c>
      <c r="D48" s="171" t="e">
        <f>RecordingSheet!#REF!</f>
        <v>#REF!</v>
      </c>
      <c r="E48" s="420" t="s">
        <v>19</v>
      </c>
      <c r="F48" s="93">
        <f>RecordingSheet!D236</f>
        <v>0</v>
      </c>
      <c r="G48" s="171" t="e">
        <f>RecordingSheet!#REF!</f>
        <v>#REF!</v>
      </c>
    </row>
    <row r="49" spans="2:7" ht="13.5" customHeight="1">
      <c r="B49" s="424"/>
      <c r="C49" s="99">
        <f>RecordingSheet!D229</f>
        <v>0</v>
      </c>
      <c r="D49" s="172" t="e">
        <f>RecordingSheet!#REF!</f>
        <v>#REF!</v>
      </c>
      <c r="E49" s="421"/>
      <c r="F49" s="99">
        <f>RecordingSheet!D237</f>
        <v>0</v>
      </c>
      <c r="G49" s="172" t="e">
        <f>RecordingSheet!#REF!</f>
        <v>#REF!</v>
      </c>
    </row>
    <row r="50" spans="2:7" ht="13.5" customHeight="1">
      <c r="B50" s="424"/>
      <c r="C50" s="94">
        <f>RecordingSheet!D230</f>
        <v>0</v>
      </c>
      <c r="D50" s="173" t="e">
        <f>RecordingSheet!#REF!</f>
        <v>#REF!</v>
      </c>
      <c r="E50" s="421"/>
      <c r="F50" s="94">
        <f>RecordingSheet!D238</f>
        <v>0</v>
      </c>
      <c r="G50" s="173" t="e">
        <f>RecordingSheet!#REF!</f>
        <v>#REF!</v>
      </c>
    </row>
    <row r="51" spans="2:7" ht="13.5" customHeight="1" thickBot="1">
      <c r="B51" s="425"/>
      <c r="C51" s="92">
        <f>RecordingSheet!D231</f>
        <v>0</v>
      </c>
      <c r="D51" s="174" t="e">
        <f>RecordingSheet!#REF!</f>
        <v>#REF!</v>
      </c>
      <c r="E51" s="422"/>
      <c r="F51" s="92">
        <f>RecordingSheet!D239</f>
        <v>0</v>
      </c>
      <c r="G51" s="174" t="e">
        <f>RecordingSheet!#REF!</f>
        <v>#REF!</v>
      </c>
    </row>
    <row r="52" spans="2:7" ht="13.5" customHeight="1">
      <c r="B52" s="423" t="s">
        <v>23</v>
      </c>
      <c r="C52" s="93">
        <f>RecordingSheet!D299</f>
        <v>0</v>
      </c>
      <c r="D52" s="171" t="e">
        <f>RecordingSheet!#REF!</f>
        <v>#REF!</v>
      </c>
      <c r="E52" s="420" t="s">
        <v>23</v>
      </c>
      <c r="F52" s="93">
        <f>RecordingSheet!D307</f>
        <v>0</v>
      </c>
      <c r="G52" s="171" t="e">
        <f>RecordingSheet!#REF!</f>
        <v>#REF!</v>
      </c>
    </row>
    <row r="53" spans="2:7" ht="13.5" customHeight="1">
      <c r="B53" s="424"/>
      <c r="C53" s="99">
        <f>RecordingSheet!D300</f>
        <v>0</v>
      </c>
      <c r="D53" s="172" t="e">
        <f>RecordingSheet!#REF!</f>
        <v>#REF!</v>
      </c>
      <c r="E53" s="421"/>
      <c r="F53" s="99">
        <f>RecordingSheet!D308</f>
        <v>0</v>
      </c>
      <c r="G53" s="172" t="e">
        <f>RecordingSheet!#REF!</f>
        <v>#REF!</v>
      </c>
    </row>
    <row r="54" spans="2:7" ht="13.5" customHeight="1">
      <c r="B54" s="424"/>
      <c r="C54" s="94">
        <f>RecordingSheet!D301</f>
        <v>0</v>
      </c>
      <c r="D54" s="173" t="e">
        <f>RecordingSheet!#REF!</f>
        <v>#REF!</v>
      </c>
      <c r="E54" s="421"/>
      <c r="F54" s="94">
        <f>RecordingSheet!D309</f>
        <v>0</v>
      </c>
      <c r="G54" s="173" t="e">
        <f>RecordingSheet!#REF!</f>
        <v>#REF!</v>
      </c>
    </row>
    <row r="55" spans="2:7" ht="13.5" customHeight="1" thickBot="1">
      <c r="B55" s="425"/>
      <c r="C55" s="92">
        <f>RecordingSheet!D302</f>
        <v>0</v>
      </c>
      <c r="D55" s="174" t="e">
        <f>RecordingSheet!#REF!</f>
        <v>#REF!</v>
      </c>
      <c r="E55" s="422"/>
      <c r="F55" s="92">
        <f>RecordingSheet!D310</f>
        <v>0</v>
      </c>
      <c r="G55" s="174" t="e">
        <f>RecordingSheet!#REF!</f>
        <v>#REF!</v>
      </c>
    </row>
    <row r="56" spans="2:7" s="28" customFormat="1" ht="16.5" thickBot="1">
      <c r="B56" s="65"/>
      <c r="C56" s="65"/>
      <c r="D56" s="64"/>
      <c r="E56" s="65"/>
      <c r="F56" s="66"/>
      <c r="G56" s="66"/>
    </row>
    <row r="57" spans="2:7" s="28" customFormat="1" ht="16.5" thickBot="1">
      <c r="B57" s="427" t="s">
        <v>40</v>
      </c>
      <c r="C57" s="428"/>
      <c r="D57" s="429"/>
      <c r="E57" s="427" t="s">
        <v>41</v>
      </c>
      <c r="F57" s="428"/>
      <c r="G57" s="429"/>
    </row>
    <row r="58" spans="2:7" ht="13.5" customHeight="1">
      <c r="B58" s="423" t="s">
        <v>21</v>
      </c>
      <c r="C58" s="93">
        <f>RecordingSheet!D102</f>
        <v>0</v>
      </c>
      <c r="D58" s="171" t="e">
        <f>RecordingSheet!#REF!</f>
        <v>#REF!</v>
      </c>
      <c r="E58" s="420" t="s">
        <v>21</v>
      </c>
      <c r="F58" s="93">
        <f>RecordingSheet!D110</f>
        <v>0</v>
      </c>
      <c r="G58" s="171" t="e">
        <f>RecordingSheet!#REF!</f>
        <v>#REF!</v>
      </c>
    </row>
    <row r="59" spans="2:7" ht="13.5" customHeight="1">
      <c r="B59" s="424"/>
      <c r="C59" s="99">
        <f>RecordingSheet!D103</f>
        <v>0</v>
      </c>
      <c r="D59" s="172" t="e">
        <f>RecordingSheet!#REF!</f>
        <v>#REF!</v>
      </c>
      <c r="E59" s="421"/>
      <c r="F59" s="99">
        <f>RecordingSheet!D111</f>
        <v>0</v>
      </c>
      <c r="G59" s="172" t="e">
        <f>RecordingSheet!#REF!</f>
        <v>#REF!</v>
      </c>
    </row>
    <row r="60" spans="2:7" ht="13.5" customHeight="1">
      <c r="B60" s="424"/>
      <c r="C60" s="94">
        <f>RecordingSheet!D104</f>
        <v>0</v>
      </c>
      <c r="D60" s="173" t="e">
        <f>RecordingSheet!#REF!</f>
        <v>#REF!</v>
      </c>
      <c r="E60" s="421"/>
      <c r="F60" s="94">
        <f>RecordingSheet!D112</f>
        <v>0</v>
      </c>
      <c r="G60" s="173" t="e">
        <f>RecordingSheet!#REF!</f>
        <v>#REF!</v>
      </c>
    </row>
    <row r="61" spans="2:7" ht="13.5" customHeight="1" thickBot="1">
      <c r="B61" s="425"/>
      <c r="C61" s="92">
        <f>RecordingSheet!D105</f>
        <v>0</v>
      </c>
      <c r="D61" s="174" t="e">
        <f>RecordingSheet!#REF!</f>
        <v>#REF!</v>
      </c>
      <c r="E61" s="422"/>
      <c r="F61" s="92">
        <f>RecordingSheet!D113</f>
        <v>0</v>
      </c>
      <c r="G61" s="174" t="e">
        <f>RecordingSheet!#REF!</f>
        <v>#REF!</v>
      </c>
    </row>
    <row r="62" spans="2:7" ht="13.5" customHeight="1">
      <c r="B62" s="423" t="s">
        <v>20</v>
      </c>
      <c r="C62" s="93">
        <f>RecordingSheet!D173</f>
        <v>0</v>
      </c>
      <c r="D62" s="171" t="e">
        <f>RecordingSheet!#REF!</f>
        <v>#REF!</v>
      </c>
      <c r="E62" s="420" t="s">
        <v>20</v>
      </c>
      <c r="F62" s="93">
        <f>RecordingSheet!D181</f>
        <v>0</v>
      </c>
      <c r="G62" s="171" t="e">
        <f>RecordingSheet!#REF!</f>
        <v>#REF!</v>
      </c>
    </row>
    <row r="63" spans="2:7" ht="13.5" customHeight="1">
      <c r="B63" s="424"/>
      <c r="C63" s="99">
        <f>RecordingSheet!D174</f>
        <v>0</v>
      </c>
      <c r="D63" s="172" t="e">
        <f>RecordingSheet!#REF!</f>
        <v>#REF!</v>
      </c>
      <c r="E63" s="421"/>
      <c r="F63" s="99">
        <f>RecordingSheet!D182</f>
        <v>0</v>
      </c>
      <c r="G63" s="172" t="e">
        <f>RecordingSheet!#REF!</f>
        <v>#REF!</v>
      </c>
    </row>
    <row r="64" spans="2:7" ht="13.5" customHeight="1">
      <c r="B64" s="424"/>
      <c r="C64" s="94">
        <f>RecordingSheet!D175</f>
        <v>0</v>
      </c>
      <c r="D64" s="173" t="e">
        <f>RecordingSheet!#REF!</f>
        <v>#REF!</v>
      </c>
      <c r="E64" s="421"/>
      <c r="F64" s="94">
        <f>RecordingSheet!D183</f>
        <v>0</v>
      </c>
      <c r="G64" s="173" t="e">
        <f>RecordingSheet!#REF!</f>
        <v>#REF!</v>
      </c>
    </row>
    <row r="65" spans="2:7" ht="13.5" customHeight="1" thickBot="1">
      <c r="B65" s="425"/>
      <c r="C65" s="92">
        <f>RecordingSheet!D176</f>
        <v>0</v>
      </c>
      <c r="D65" s="174" t="e">
        <f>RecordingSheet!#REF!</f>
        <v>#REF!</v>
      </c>
      <c r="E65" s="422"/>
      <c r="F65" s="92">
        <f>RecordingSheet!D184</f>
        <v>0</v>
      </c>
      <c r="G65" s="174" t="e">
        <f>RecordingSheet!#REF!</f>
        <v>#REF!</v>
      </c>
    </row>
    <row r="66" spans="2:7" ht="13.5" customHeight="1">
      <c r="B66" s="423" t="s">
        <v>19</v>
      </c>
      <c r="C66" s="93">
        <f>RecordingSheet!D244</f>
        <v>0</v>
      </c>
      <c r="D66" s="171" t="e">
        <f>RecordingSheet!#REF!</f>
        <v>#REF!</v>
      </c>
      <c r="E66" s="420" t="s">
        <v>19</v>
      </c>
      <c r="F66" s="93">
        <f>RecordingSheet!D252</f>
        <v>0</v>
      </c>
      <c r="G66" s="171" t="e">
        <f>RecordingSheet!#REF!</f>
        <v>#REF!</v>
      </c>
    </row>
    <row r="67" spans="2:7" ht="13.5" customHeight="1">
      <c r="B67" s="424"/>
      <c r="C67" s="99">
        <f>RecordingSheet!D245</f>
        <v>0</v>
      </c>
      <c r="D67" s="172" t="e">
        <f>RecordingSheet!#REF!</f>
        <v>#REF!</v>
      </c>
      <c r="E67" s="421"/>
      <c r="F67" s="99">
        <f>RecordingSheet!D253</f>
        <v>0</v>
      </c>
      <c r="G67" s="172" t="e">
        <f>RecordingSheet!#REF!</f>
        <v>#REF!</v>
      </c>
    </row>
    <row r="68" spans="2:7" ht="13.5" customHeight="1">
      <c r="B68" s="424"/>
      <c r="C68" s="94">
        <f>RecordingSheet!D246</f>
        <v>0</v>
      </c>
      <c r="D68" s="173" t="e">
        <f>RecordingSheet!#REF!</f>
        <v>#REF!</v>
      </c>
      <c r="E68" s="421"/>
      <c r="F68" s="94">
        <f>RecordingSheet!D254</f>
        <v>0</v>
      </c>
      <c r="G68" s="173" t="e">
        <f>RecordingSheet!#REF!</f>
        <v>#REF!</v>
      </c>
    </row>
    <row r="69" spans="2:7" ht="13.5" customHeight="1" thickBot="1">
      <c r="B69" s="425"/>
      <c r="C69" s="92">
        <f>RecordingSheet!D247</f>
        <v>0</v>
      </c>
      <c r="D69" s="174" t="e">
        <f>RecordingSheet!#REF!</f>
        <v>#REF!</v>
      </c>
      <c r="E69" s="422"/>
      <c r="F69" s="92">
        <f>RecordingSheet!D255</f>
        <v>0</v>
      </c>
      <c r="G69" s="174" t="e">
        <f>RecordingSheet!#REF!</f>
        <v>#REF!</v>
      </c>
    </row>
    <row r="70" spans="2:7" ht="13.5" customHeight="1">
      <c r="B70" s="423" t="s">
        <v>23</v>
      </c>
      <c r="C70" s="93">
        <f>RecordingSheet!D315</f>
        <v>0</v>
      </c>
      <c r="D70" s="171" t="e">
        <f>RecordingSheet!#REF!</f>
        <v>#REF!</v>
      </c>
      <c r="E70" s="420" t="s">
        <v>23</v>
      </c>
      <c r="F70" s="94">
        <f>RecordingSheet!D323</f>
        <v>0</v>
      </c>
      <c r="G70" s="173" t="e">
        <f>RecordingSheet!#REF!</f>
        <v>#REF!</v>
      </c>
    </row>
    <row r="71" spans="2:7" ht="13.5" customHeight="1">
      <c r="B71" s="424"/>
      <c r="C71" s="99">
        <f>RecordingSheet!D316</f>
        <v>0</v>
      </c>
      <c r="D71" s="172" t="e">
        <f>RecordingSheet!#REF!</f>
        <v>#REF!</v>
      </c>
      <c r="E71" s="421"/>
      <c r="F71" s="94">
        <f>RecordingSheet!D324</f>
        <v>0</v>
      </c>
      <c r="G71" s="173" t="e">
        <f>RecordingSheet!#REF!</f>
        <v>#REF!</v>
      </c>
    </row>
    <row r="72" spans="2:7" ht="13.5" customHeight="1">
      <c r="B72" s="424"/>
      <c r="C72" s="94">
        <f>RecordingSheet!D317</f>
        <v>0</v>
      </c>
      <c r="D72" s="173" t="e">
        <f>RecordingSheet!#REF!</f>
        <v>#REF!</v>
      </c>
      <c r="E72" s="421"/>
      <c r="F72" s="94">
        <f>RecordingSheet!D325</f>
        <v>0</v>
      </c>
      <c r="G72" s="173" t="e">
        <f>RecordingSheet!#REF!</f>
        <v>#REF!</v>
      </c>
    </row>
    <row r="73" spans="2:7" ht="13.5" customHeight="1" thickBot="1">
      <c r="B73" s="425"/>
      <c r="C73" s="92">
        <f>RecordingSheet!D318</f>
        <v>0</v>
      </c>
      <c r="D73" s="174" t="e">
        <f>RecordingSheet!#REF!</f>
        <v>#REF!</v>
      </c>
      <c r="E73" s="422"/>
      <c r="F73" s="92">
        <f>RecordingSheet!D326</f>
        <v>0</v>
      </c>
      <c r="G73" s="174" t="e">
        <f>RecordingSheet!#REF!</f>
        <v>#REF!</v>
      </c>
    </row>
  </sheetData>
  <sheetProtection formatCells="0" formatColumns="0"/>
  <mergeCells count="41">
    <mergeCell ref="B70:B73"/>
    <mergeCell ref="B21:D21"/>
    <mergeCell ref="B39:D39"/>
    <mergeCell ref="E70:E73"/>
    <mergeCell ref="E21:G21"/>
    <mergeCell ref="E39:G39"/>
    <mergeCell ref="E57:G57"/>
    <mergeCell ref="E66:E69"/>
    <mergeCell ref="B66:B69"/>
    <mergeCell ref="B58:B61"/>
    <mergeCell ref="B52:B55"/>
    <mergeCell ref="B34:B37"/>
    <mergeCell ref="B62:B65"/>
    <mergeCell ref="E48:E51"/>
    <mergeCell ref="E62:E65"/>
    <mergeCell ref="B22:B25"/>
    <mergeCell ref="B1:G1"/>
    <mergeCell ref="E58:E61"/>
    <mergeCell ref="B48:B51"/>
    <mergeCell ref="B44:B47"/>
    <mergeCell ref="E52:E55"/>
    <mergeCell ref="B8:B11"/>
    <mergeCell ref="B57:D57"/>
    <mergeCell ref="B40:B43"/>
    <mergeCell ref="B12:B15"/>
    <mergeCell ref="E22:E25"/>
    <mergeCell ref="E44:E47"/>
    <mergeCell ref="E16:E19"/>
    <mergeCell ref="B3:D3"/>
    <mergeCell ref="E40:E43"/>
    <mergeCell ref="E3:G3"/>
    <mergeCell ref="B4:B7"/>
    <mergeCell ref="E34:E37"/>
    <mergeCell ref="B30:B33"/>
    <mergeCell ref="E4:E7"/>
    <mergeCell ref="E26:E29"/>
    <mergeCell ref="E12:E15"/>
    <mergeCell ref="E30:E33"/>
    <mergeCell ref="B26:B29"/>
    <mergeCell ref="B16:B19"/>
    <mergeCell ref="E8:E11"/>
  </mergeCells>
  <phoneticPr fontId="0" type="noConversion"/>
  <printOptions horizontalCentered="1" verticalCentered="1"/>
  <pageMargins left="0.23622047244094491" right="0.23622047244094491" top="0.55118110236220474" bottom="0.55118110236220474" header="0.11811023622047245" footer="0.11811023622047245"/>
  <pageSetup paperSize="9" scale="78" orientation="portrait" horizontalDpi="4294967293" verticalDpi="4294967293"/>
  <headerFooter alignWithMargins="0">
    <oddFooter>&amp;CPERSONAL AND CONFIDENTIAL</oddFooter>
  </headerFooter>
</worksheet>
</file>

<file path=xl/worksheets/sheet8.xml><?xml version="1.0" encoding="utf-8"?>
<worksheet xmlns="http://schemas.openxmlformats.org/spreadsheetml/2006/main" xmlns:r="http://schemas.openxmlformats.org/officeDocument/2006/relationships">
  <sheetPr codeName="Sheet5">
    <tabColor rgb="FF00B050"/>
    <pageSetUpPr fitToPage="1"/>
  </sheetPr>
  <dimension ref="A1:J75"/>
  <sheetViews>
    <sheetView topLeftCell="A40" zoomScaleNormal="100" workbookViewId="0">
      <selection activeCell="C72" sqref="C72"/>
    </sheetView>
  </sheetViews>
  <sheetFormatPr defaultRowHeight="12.75"/>
  <cols>
    <col min="1" max="1" width="3.5703125" style="1" customWidth="1"/>
    <col min="2" max="2" width="18.5703125" style="1" customWidth="1"/>
    <col min="3" max="3" width="17.85546875" style="145" customWidth="1"/>
    <col min="4" max="4" width="11.42578125" style="141" customWidth="1"/>
    <col min="5" max="5" width="18.5703125" style="1" customWidth="1"/>
    <col min="6" max="6" width="17.85546875" style="148" customWidth="1"/>
    <col min="7" max="7" width="11.42578125" style="141" customWidth="1"/>
    <col min="8" max="8" width="16.140625" style="1" bestFit="1" customWidth="1"/>
    <col min="9" max="9" width="11.7109375" style="1" bestFit="1" customWidth="1"/>
    <col min="10" max="10" width="19.85546875" style="32" customWidth="1"/>
    <col min="11" max="11" width="12.7109375" style="1" bestFit="1" customWidth="1"/>
    <col min="12" max="16384" width="9.140625" style="1"/>
  </cols>
  <sheetData>
    <row r="1" spans="1:10">
      <c r="B1" s="426" t="str">
        <f>RecordingSheet!B3</f>
        <v>Lisburn 231 v Limavady 169</v>
      </c>
      <c r="C1" s="426"/>
      <c r="D1" s="426"/>
      <c r="E1" s="426"/>
      <c r="F1" s="426"/>
      <c r="G1" s="426"/>
    </row>
    <row r="2" spans="1:10" s="28" customFormat="1" ht="16.5" thickBot="1">
      <c r="A2" s="68"/>
      <c r="B2" s="70"/>
      <c r="C2" s="142"/>
      <c r="D2" s="71"/>
      <c r="E2" s="63"/>
      <c r="F2" s="146"/>
      <c r="G2" s="71"/>
    </row>
    <row r="3" spans="1:10" s="29" customFormat="1" ht="16.5" thickBot="1">
      <c r="A3" s="67"/>
      <c r="B3" s="427" t="s">
        <v>34</v>
      </c>
      <c r="C3" s="428"/>
      <c r="D3" s="429"/>
      <c r="E3" s="427" t="s">
        <v>35</v>
      </c>
      <c r="F3" s="428"/>
      <c r="G3" s="429"/>
      <c r="I3" s="31"/>
      <c r="J3" s="33"/>
    </row>
    <row r="4" spans="1:10" s="28" customFormat="1" ht="13.5" customHeight="1">
      <c r="A4" s="68"/>
      <c r="B4" s="423" t="s">
        <v>21</v>
      </c>
      <c r="C4" s="129" t="str">
        <f>RecordingSheet!D50</f>
        <v>Caelyn O Connor</v>
      </c>
      <c r="D4" s="171" t="e">
        <f>RecordingSheet!#REF!</f>
        <v>#REF!</v>
      </c>
      <c r="E4" s="423" t="s">
        <v>21</v>
      </c>
      <c r="F4" s="129" t="str">
        <f>RecordingSheet!D58</f>
        <v>Henry Connell</v>
      </c>
      <c r="G4" s="171" t="e">
        <f>RecordingSheet!#REF!</f>
        <v>#REF!</v>
      </c>
    </row>
    <row r="5" spans="1:10" s="28" customFormat="1" ht="13.5" customHeight="1">
      <c r="A5" s="68"/>
      <c r="B5" s="424"/>
      <c r="C5" s="130" t="str">
        <f>RecordingSheet!D51</f>
        <v>Miya Mc Clamont</v>
      </c>
      <c r="D5" s="172" t="e">
        <f>RecordingSheet!#REF!</f>
        <v>#REF!</v>
      </c>
      <c r="E5" s="424"/>
      <c r="F5" s="130" t="str">
        <f>RecordingSheet!D59</f>
        <v>Tom Cormie</v>
      </c>
      <c r="G5" s="172" t="e">
        <f>RecordingSheet!#REF!</f>
        <v>#REF!</v>
      </c>
    </row>
    <row r="6" spans="1:10" s="28" customFormat="1" ht="13.5" customHeight="1">
      <c r="A6" s="68"/>
      <c r="B6" s="424"/>
      <c r="C6" s="131" t="str">
        <f>RecordingSheet!D52</f>
        <v>Grace Gallagher</v>
      </c>
      <c r="D6" s="172" t="e">
        <f>RecordingSheet!#REF!</f>
        <v>#REF!</v>
      </c>
      <c r="E6" s="424"/>
      <c r="F6" s="131" t="str">
        <f>RecordingSheet!D60</f>
        <v>Harry Butcher</v>
      </c>
      <c r="G6" s="173" t="e">
        <f>RecordingSheet!#REF!</f>
        <v>#REF!</v>
      </c>
    </row>
    <row r="7" spans="1:10" s="28" customFormat="1" ht="13.5" customHeight="1" thickBot="1">
      <c r="A7" s="68"/>
      <c r="B7" s="425"/>
      <c r="C7" s="132" t="str">
        <f>RecordingSheet!D53</f>
        <v>Maise Campbell</v>
      </c>
      <c r="D7" s="174" t="e">
        <f>RecordingSheet!#REF!</f>
        <v>#REF!</v>
      </c>
      <c r="E7" s="425"/>
      <c r="F7" s="132" t="str">
        <f>RecordingSheet!D61</f>
        <v>Aodhan Gallagher</v>
      </c>
      <c r="G7" s="174" t="e">
        <f>RecordingSheet!#REF!</f>
        <v>#REF!</v>
      </c>
    </row>
    <row r="8" spans="1:10" s="28" customFormat="1" ht="13.5" customHeight="1">
      <c r="A8" s="68"/>
      <c r="B8" s="423" t="s">
        <v>20</v>
      </c>
      <c r="C8" s="129" t="str">
        <f>RecordingSheet!D121</f>
        <v>Fiona O Neill</v>
      </c>
      <c r="D8" s="175" t="e">
        <f>RecordingSheet!#REF!</f>
        <v>#REF!</v>
      </c>
      <c r="E8" s="423" t="s">
        <v>20</v>
      </c>
      <c r="F8" s="129" t="str">
        <f>RecordingSheet!D129</f>
        <v>Jack Mc Gookin</v>
      </c>
      <c r="G8" s="175" t="e">
        <f>RecordingSheet!#REF!</f>
        <v>#REF!</v>
      </c>
    </row>
    <row r="9" spans="1:10" s="28" customFormat="1" ht="13.5" customHeight="1">
      <c r="A9" s="68"/>
      <c r="B9" s="424"/>
      <c r="C9" s="130" t="str">
        <f>RecordingSheet!D122</f>
        <v>Miya Mc Clamont</v>
      </c>
      <c r="D9" s="172" t="e">
        <f>RecordingSheet!#REF!</f>
        <v>#REF!</v>
      </c>
      <c r="E9" s="424"/>
      <c r="F9" s="130" t="str">
        <f>RecordingSheet!D130</f>
        <v>Henry Connell</v>
      </c>
      <c r="G9" s="172" t="e">
        <f>RecordingSheet!#REF!</f>
        <v>#REF!</v>
      </c>
    </row>
    <row r="10" spans="1:10" s="28" customFormat="1" ht="13.5" customHeight="1">
      <c r="A10" s="68"/>
      <c r="B10" s="424"/>
      <c r="C10" s="131" t="str">
        <f>RecordingSheet!D123</f>
        <v>Ma</v>
      </c>
      <c r="D10" s="173" t="e">
        <f>RecordingSheet!#REF!</f>
        <v>#REF!</v>
      </c>
      <c r="E10" s="424"/>
      <c r="F10" s="131" t="str">
        <f>RecordingSheet!D131</f>
        <v>Harry Butcher</v>
      </c>
      <c r="G10" s="173" t="e">
        <f>RecordingSheet!#REF!</f>
        <v>#REF!</v>
      </c>
    </row>
    <row r="11" spans="1:10" s="28" customFormat="1" ht="13.5" customHeight="1" thickBot="1">
      <c r="A11" s="68"/>
      <c r="B11" s="425"/>
      <c r="C11" s="132" t="str">
        <f>RecordingSheet!D124</f>
        <v>Grace Gallagher</v>
      </c>
      <c r="D11" s="174" t="e">
        <f>RecordingSheet!#REF!</f>
        <v>#REF!</v>
      </c>
      <c r="E11" s="425"/>
      <c r="F11" s="132" t="str">
        <f>RecordingSheet!D132</f>
        <v>Adam Gallagher</v>
      </c>
      <c r="G11" s="174" t="e">
        <f>RecordingSheet!#REF!</f>
        <v>#REF!</v>
      </c>
    </row>
    <row r="12" spans="1:10" s="28" customFormat="1" ht="13.5" customHeight="1">
      <c r="A12" s="68"/>
      <c r="B12" s="423" t="s">
        <v>19</v>
      </c>
      <c r="C12" s="129" t="str">
        <f>RecordingSheet!D192</f>
        <v>Fiona O Neill</v>
      </c>
      <c r="D12" s="171" t="e">
        <f>RecordingSheet!#REF!</f>
        <v>#REF!</v>
      </c>
      <c r="E12" s="423" t="s">
        <v>19</v>
      </c>
      <c r="F12" s="129" t="str">
        <f>RecordingSheet!D200</f>
        <v>Ollie Mc Mackin</v>
      </c>
      <c r="G12" s="171" t="e">
        <f>RecordingSheet!#REF!</f>
        <v>#REF!</v>
      </c>
    </row>
    <row r="13" spans="1:10" s="28" customFormat="1" ht="13.5" customHeight="1">
      <c r="A13" s="68"/>
      <c r="B13" s="424"/>
      <c r="C13" s="130" t="str">
        <f>RecordingSheet!D193</f>
        <v>Miya Mc Clamont</v>
      </c>
      <c r="D13" s="172" t="e">
        <f>RecordingSheet!#REF!</f>
        <v>#REF!</v>
      </c>
      <c r="E13" s="424"/>
      <c r="F13" s="130" t="str">
        <f>RecordingSheet!D201</f>
        <v>Tom Cormie</v>
      </c>
      <c r="G13" s="172" t="e">
        <f>RecordingSheet!#REF!</f>
        <v>#REF!</v>
      </c>
    </row>
    <row r="14" spans="1:10" s="28" customFormat="1" ht="13.5" customHeight="1">
      <c r="A14" s="68"/>
      <c r="B14" s="424"/>
      <c r="C14" s="131" t="str">
        <f>RecordingSheet!D194</f>
        <v>Caelyn O Connor</v>
      </c>
      <c r="D14" s="173" t="e">
        <f>RecordingSheet!#REF!</f>
        <v>#REF!</v>
      </c>
      <c r="E14" s="424"/>
      <c r="F14" s="131" t="str">
        <f>RecordingSheet!D202</f>
        <v>Eoin Mc Alinden</v>
      </c>
      <c r="G14" s="173" t="e">
        <f>RecordingSheet!#REF!</f>
        <v>#REF!</v>
      </c>
    </row>
    <row r="15" spans="1:10" s="28" customFormat="1" ht="13.5" customHeight="1" thickBot="1">
      <c r="A15" s="68"/>
      <c r="B15" s="425"/>
      <c r="C15" s="132" t="str">
        <f>RecordingSheet!D195</f>
        <v>Isobella Mc Carron</v>
      </c>
      <c r="D15" s="174" t="e">
        <f>RecordingSheet!#REF!</f>
        <v>#REF!</v>
      </c>
      <c r="E15" s="425"/>
      <c r="F15" s="132" t="str">
        <f>RecordingSheet!D203</f>
        <v>Luke Blair</v>
      </c>
      <c r="G15" s="174" t="e">
        <f>RecordingSheet!#REF!</f>
        <v>#REF!</v>
      </c>
    </row>
    <row r="16" spans="1:10" s="28" customFormat="1" ht="13.5" customHeight="1">
      <c r="A16" s="68"/>
      <c r="B16" s="423" t="s">
        <v>23</v>
      </c>
      <c r="C16" s="129" t="str">
        <f>RecordingSheet!D263</f>
        <v>Fiona O Neill</v>
      </c>
      <c r="D16" s="171" t="e">
        <f>RecordingSheet!#REF!</f>
        <v>#REF!</v>
      </c>
      <c r="E16" s="423" t="s">
        <v>23</v>
      </c>
      <c r="F16" s="129" t="str">
        <f>RecordingSheet!D271</f>
        <v>Harry Butcher</v>
      </c>
      <c r="G16" s="171" t="e">
        <f>RecordingSheet!#REF!</f>
        <v>#REF!</v>
      </c>
    </row>
    <row r="17" spans="1:10" s="28" customFormat="1" ht="13.5" customHeight="1">
      <c r="A17" s="68"/>
      <c r="B17" s="424"/>
      <c r="C17" s="130" t="str">
        <f>RecordingSheet!D264</f>
        <v>Miya Mc Clamont</v>
      </c>
      <c r="D17" s="172" t="e">
        <f>RecordingSheet!#REF!</f>
        <v>#REF!</v>
      </c>
      <c r="E17" s="424"/>
      <c r="F17" s="130" t="str">
        <f>RecordingSheet!D272</f>
        <v>Tom Cormie</v>
      </c>
      <c r="G17" s="172" t="e">
        <f>RecordingSheet!#REF!</f>
        <v>#REF!</v>
      </c>
    </row>
    <row r="18" spans="1:10" s="28" customFormat="1" ht="13.5" customHeight="1">
      <c r="A18" s="68"/>
      <c r="B18" s="424"/>
      <c r="C18" s="131" t="str">
        <f>RecordingSheet!D265</f>
        <v>Caelyn O Connor</v>
      </c>
      <c r="D18" s="173" t="e">
        <f>RecordingSheet!#REF!</f>
        <v>#REF!</v>
      </c>
      <c r="E18" s="424"/>
      <c r="F18" s="131" t="str">
        <f>RecordingSheet!D273</f>
        <v>Jamie Mellon</v>
      </c>
      <c r="G18" s="173" t="e">
        <f>RecordingSheet!#REF!</f>
        <v>#REF!</v>
      </c>
    </row>
    <row r="19" spans="1:10" s="28" customFormat="1" ht="13.5" customHeight="1" thickBot="1">
      <c r="A19" s="68"/>
      <c r="B19" s="425"/>
      <c r="C19" s="132" t="str">
        <f>RecordingSheet!D266</f>
        <v>Isobella Mc Carron</v>
      </c>
      <c r="D19" s="174" t="e">
        <f>RecordingSheet!#REF!</f>
        <v>#REF!</v>
      </c>
      <c r="E19" s="425"/>
      <c r="F19" s="132" t="str">
        <f>RecordingSheet!D274</f>
        <v>Ollie Mc Mc Macken</v>
      </c>
      <c r="G19" s="174" t="e">
        <f>RecordingSheet!#REF!</f>
        <v>#REF!</v>
      </c>
    </row>
    <row r="20" spans="1:10" s="28" customFormat="1" ht="16.5" thickBot="1">
      <c r="A20" s="68"/>
      <c r="B20" s="70"/>
      <c r="C20" s="142"/>
      <c r="D20" s="71"/>
      <c r="E20" s="63"/>
      <c r="F20" s="146"/>
      <c r="G20" s="71"/>
    </row>
    <row r="21" spans="1:10" s="29" customFormat="1" ht="16.5" thickBot="1">
      <c r="A21" s="67"/>
      <c r="B21" s="427" t="s">
        <v>36</v>
      </c>
      <c r="C21" s="428"/>
      <c r="D21" s="429"/>
      <c r="E21" s="427" t="s">
        <v>37</v>
      </c>
      <c r="F21" s="428"/>
      <c r="G21" s="429"/>
      <c r="I21" s="31"/>
      <c r="J21" s="33"/>
    </row>
    <row r="22" spans="1:10" s="28" customFormat="1" ht="13.5" customHeight="1">
      <c r="A22" s="68"/>
      <c r="B22" s="423" t="s">
        <v>21</v>
      </c>
      <c r="C22" s="129" t="str">
        <f>RecordingSheet!D66</f>
        <v>Emma Gallagher</v>
      </c>
      <c r="D22" s="171" t="e">
        <f>RecordingSheet!#REF!</f>
        <v>#REF!</v>
      </c>
      <c r="E22" s="423" t="s">
        <v>21</v>
      </c>
      <c r="F22" s="129" t="str">
        <f>RecordingSheet!D74</f>
        <v>Kevin Mc Macken</v>
      </c>
      <c r="G22" s="171" t="e">
        <f>RecordingSheet!#REF!</f>
        <v>#REF!</v>
      </c>
    </row>
    <row r="23" spans="1:10" s="28" customFormat="1" ht="13.5" customHeight="1">
      <c r="A23" s="68"/>
      <c r="B23" s="424"/>
      <c r="C23" s="130" t="str">
        <f>RecordingSheet!D67</f>
        <v>Alice Cladwell</v>
      </c>
      <c r="D23" s="172" t="e">
        <f>RecordingSheet!#REF!</f>
        <v>#REF!</v>
      </c>
      <c r="E23" s="424"/>
      <c r="F23" s="130" t="str">
        <f>RecordingSheet!D75</f>
        <v>Sam S H</v>
      </c>
      <c r="G23" s="172" t="e">
        <f>RecordingSheet!#REF!</f>
        <v>#REF!</v>
      </c>
    </row>
    <row r="24" spans="1:10" s="28" customFormat="1" ht="13.5" customHeight="1">
      <c r="A24" s="68"/>
      <c r="B24" s="424"/>
      <c r="C24" s="131" t="str">
        <f>RecordingSheet!D68</f>
        <v>Sofie Halcrow</v>
      </c>
      <c r="D24" s="173" t="e">
        <f>RecordingSheet!#REF!</f>
        <v>#REF!</v>
      </c>
      <c r="E24" s="424"/>
      <c r="F24" s="131" t="str">
        <f>RecordingSheet!D76</f>
        <v>Toby Dinsmore</v>
      </c>
      <c r="G24" s="173" t="e">
        <f>RecordingSheet!#REF!</f>
        <v>#REF!</v>
      </c>
    </row>
    <row r="25" spans="1:10" s="28" customFormat="1" ht="13.5" customHeight="1" thickBot="1">
      <c r="A25" s="68"/>
      <c r="B25" s="425"/>
      <c r="C25" s="132" t="str">
        <f>RecordingSheet!D69</f>
        <v>Eva Campell</v>
      </c>
      <c r="D25" s="174" t="e">
        <f>RecordingSheet!#REF!</f>
        <v>#REF!</v>
      </c>
      <c r="E25" s="425"/>
      <c r="F25" s="132" t="str">
        <f>RecordingSheet!D77</f>
        <v>Cody Blair</v>
      </c>
      <c r="G25" s="174" t="e">
        <f>RecordingSheet!#REF!</f>
        <v>#REF!</v>
      </c>
    </row>
    <row r="26" spans="1:10" s="28" customFormat="1" ht="13.5" customHeight="1">
      <c r="A26" s="68"/>
      <c r="B26" s="423" t="s">
        <v>20</v>
      </c>
      <c r="C26" s="129" t="str">
        <f>RecordingSheet!D137</f>
        <v>Eva Campbell</v>
      </c>
      <c r="D26" s="171" t="e">
        <f>RecordingSheet!#REF!</f>
        <v>#REF!</v>
      </c>
      <c r="E26" s="423" t="s">
        <v>20</v>
      </c>
      <c r="F26" s="129" t="str">
        <f>RecordingSheet!D145</f>
        <v>Kevin Mc Macken</v>
      </c>
      <c r="G26" s="171" t="e">
        <f>RecordingSheet!#REF!</f>
        <v>#REF!</v>
      </c>
    </row>
    <row r="27" spans="1:10" s="28" customFormat="1" ht="13.5" customHeight="1">
      <c r="A27" s="68"/>
      <c r="B27" s="424"/>
      <c r="C27" s="130" t="str">
        <f>RecordingSheet!D138</f>
        <v>Alice Cladwell</v>
      </c>
      <c r="D27" s="172" t="e">
        <f>RecordingSheet!#REF!</f>
        <v>#REF!</v>
      </c>
      <c r="E27" s="424"/>
      <c r="F27" s="130" t="str">
        <f>RecordingSheet!D146</f>
        <v>Sam S H</v>
      </c>
      <c r="G27" s="172" t="e">
        <f>RecordingSheet!#REF!</f>
        <v>#REF!</v>
      </c>
    </row>
    <row r="28" spans="1:10" s="91" customFormat="1" ht="13.5" customHeight="1">
      <c r="A28" s="69"/>
      <c r="B28" s="424"/>
      <c r="C28" s="131" t="str">
        <f>RecordingSheet!D139</f>
        <v>Emma Gallagher</v>
      </c>
      <c r="D28" s="173" t="e">
        <f>RecordingSheet!#REF!</f>
        <v>#REF!</v>
      </c>
      <c r="E28" s="424"/>
      <c r="F28" s="131" t="str">
        <f>RecordingSheet!D147</f>
        <v>Otis Irwin</v>
      </c>
      <c r="G28" s="173" t="e">
        <f>RecordingSheet!#REF!</f>
        <v>#REF!</v>
      </c>
    </row>
    <row r="29" spans="1:10" ht="13.5" customHeight="1" thickBot="1">
      <c r="A29" s="69"/>
      <c r="B29" s="425"/>
      <c r="C29" s="132" t="str">
        <f>RecordingSheet!D140</f>
        <v>Sofie Halcrow</v>
      </c>
      <c r="D29" s="174" t="e">
        <f>RecordingSheet!#REF!</f>
        <v>#REF!</v>
      </c>
      <c r="E29" s="425"/>
      <c r="F29" s="132" t="str">
        <f>RecordingSheet!D148</f>
        <v>Toby Dinsmore</v>
      </c>
      <c r="G29" s="174" t="e">
        <f>RecordingSheet!#REF!</f>
        <v>#REF!</v>
      </c>
      <c r="J29" s="1"/>
    </row>
    <row r="30" spans="1:10" s="91" customFormat="1" ht="13.5" customHeight="1">
      <c r="A30" s="69"/>
      <c r="B30" s="423" t="s">
        <v>19</v>
      </c>
      <c r="C30" s="129" t="str">
        <f>RecordingSheet!D208</f>
        <v>Eva Campbell</v>
      </c>
      <c r="D30" s="171" t="e">
        <f>RecordingSheet!#REF!</f>
        <v>#REF!</v>
      </c>
      <c r="E30" s="423" t="s">
        <v>19</v>
      </c>
      <c r="F30" s="129" t="str">
        <f>RecordingSheet!D216</f>
        <v>Kevin Mc Macken</v>
      </c>
      <c r="G30" s="171" t="e">
        <f>RecordingSheet!#REF!</f>
        <v>#REF!</v>
      </c>
    </row>
    <row r="31" spans="1:10" s="91" customFormat="1" ht="13.5" customHeight="1">
      <c r="A31" s="69"/>
      <c r="B31" s="424"/>
      <c r="C31" s="130" t="str">
        <f>RecordingSheet!D209</f>
        <v>Alice Cladwell</v>
      </c>
      <c r="D31" s="172" t="e">
        <f>RecordingSheet!#REF!</f>
        <v>#REF!</v>
      </c>
      <c r="E31" s="424"/>
      <c r="F31" s="130" t="str">
        <f>RecordingSheet!D217</f>
        <v>Sam S H</v>
      </c>
      <c r="G31" s="172" t="e">
        <f>RecordingSheet!#REF!</f>
        <v>#REF!</v>
      </c>
    </row>
    <row r="32" spans="1:10" s="91" customFormat="1" ht="13.5" customHeight="1">
      <c r="A32" s="69"/>
      <c r="B32" s="424"/>
      <c r="C32" s="131" t="str">
        <f>RecordingSheet!D210</f>
        <v>Sofie Halcrow</v>
      </c>
      <c r="D32" s="173" t="e">
        <f>RecordingSheet!#REF!</f>
        <v>#REF!</v>
      </c>
      <c r="E32" s="424"/>
      <c r="F32" s="131" t="str">
        <f>RecordingSheet!D218</f>
        <v>Charlie Whiteside</v>
      </c>
      <c r="G32" s="173" t="e">
        <f>RecordingSheet!#REF!</f>
        <v>#REF!</v>
      </c>
    </row>
    <row r="33" spans="1:10" s="91" customFormat="1" ht="13.5" customHeight="1" thickBot="1">
      <c r="A33" s="69"/>
      <c r="B33" s="425"/>
      <c r="C33" s="132" t="str">
        <f>RecordingSheet!D211</f>
        <v>Emma Gallagher</v>
      </c>
      <c r="D33" s="174" t="e">
        <f>RecordingSheet!#REF!</f>
        <v>#REF!</v>
      </c>
      <c r="E33" s="425"/>
      <c r="F33" s="132" t="str">
        <f>RecordingSheet!D219</f>
        <v>Otis Irwin</v>
      </c>
      <c r="G33" s="174" t="e">
        <f>RecordingSheet!#REF!</f>
        <v>#REF!</v>
      </c>
    </row>
    <row r="34" spans="1:10" s="91" customFormat="1" ht="13.5" customHeight="1">
      <c r="A34" s="69"/>
      <c r="B34" s="423" t="s">
        <v>23</v>
      </c>
      <c r="C34" s="129" t="str">
        <f>RecordingSheet!D279</f>
        <v>Eva Campbell</v>
      </c>
      <c r="D34" s="171" t="e">
        <f>RecordingSheet!#REF!</f>
        <v>#REF!</v>
      </c>
      <c r="E34" s="423" t="s">
        <v>23</v>
      </c>
      <c r="F34" s="129" t="str">
        <f>RecordingSheet!D287</f>
        <v>Kevin Mc Macken</v>
      </c>
      <c r="G34" s="171" t="e">
        <f>RecordingSheet!#REF!</f>
        <v>#REF!</v>
      </c>
    </row>
    <row r="35" spans="1:10" s="91" customFormat="1" ht="13.5" customHeight="1">
      <c r="A35" s="69"/>
      <c r="B35" s="424"/>
      <c r="C35" s="130" t="str">
        <f>RecordingSheet!D280</f>
        <v>Alice Cladwell</v>
      </c>
      <c r="D35" s="172" t="e">
        <f>RecordingSheet!#REF!</f>
        <v>#REF!</v>
      </c>
      <c r="E35" s="424"/>
      <c r="F35" s="130" t="str">
        <f>RecordingSheet!D288</f>
        <v>Sam S H</v>
      </c>
      <c r="G35" s="172" t="e">
        <f>RecordingSheet!#REF!</f>
        <v>#REF!</v>
      </c>
    </row>
    <row r="36" spans="1:10" ht="13.5" customHeight="1">
      <c r="A36" s="69"/>
      <c r="B36" s="424"/>
      <c r="C36" s="131" t="str">
        <f>RecordingSheet!D281</f>
        <v>Emma Gallagher</v>
      </c>
      <c r="D36" s="173" t="e">
        <f>RecordingSheet!#REF!</f>
        <v>#REF!</v>
      </c>
      <c r="E36" s="424"/>
      <c r="F36" s="131" t="str">
        <f>RecordingSheet!D289</f>
        <v>Cody Blair</v>
      </c>
      <c r="G36" s="173" t="e">
        <f>RecordingSheet!#REF!</f>
        <v>#REF!</v>
      </c>
      <c r="J36" s="1"/>
    </row>
    <row r="37" spans="1:10" s="91" customFormat="1" ht="13.5" customHeight="1" thickBot="1">
      <c r="A37" s="69"/>
      <c r="B37" s="425"/>
      <c r="C37" s="132" t="str">
        <f>RecordingSheet!D282</f>
        <v>Sofie Halcrow</v>
      </c>
      <c r="D37" s="174" t="e">
        <f>RecordingSheet!#REF!</f>
        <v>#REF!</v>
      </c>
      <c r="E37" s="425"/>
      <c r="F37" s="132" t="str">
        <f>RecordingSheet!D290</f>
        <v>Charlie Whiteside</v>
      </c>
      <c r="G37" s="174" t="e">
        <f>RecordingSheet!#REF!</f>
        <v>#REF!</v>
      </c>
    </row>
    <row r="38" spans="1:10" ht="13.5" thickBot="1">
      <c r="A38" s="69"/>
      <c r="B38" s="65"/>
      <c r="C38" s="143"/>
      <c r="D38" s="64"/>
      <c r="E38" s="65"/>
      <c r="F38" s="143"/>
      <c r="G38" s="66"/>
      <c r="J38" s="1"/>
    </row>
    <row r="39" spans="1:10" s="28" customFormat="1" ht="16.5" thickBot="1">
      <c r="A39" s="68"/>
      <c r="B39" s="427" t="s">
        <v>38</v>
      </c>
      <c r="C39" s="428"/>
      <c r="D39" s="429"/>
      <c r="E39" s="427" t="s">
        <v>39</v>
      </c>
      <c r="F39" s="428"/>
      <c r="G39" s="429"/>
    </row>
    <row r="40" spans="1:10" s="28" customFormat="1" ht="13.5" customHeight="1">
      <c r="A40" s="68"/>
      <c r="B40" s="423" t="s">
        <v>21</v>
      </c>
      <c r="C40" s="129" t="str">
        <f>RecordingSheet!D82</f>
        <v>Brooke Mc Clamont</v>
      </c>
      <c r="D40" s="171" t="e">
        <f>RecordingSheet!#REF!</f>
        <v>#REF!</v>
      </c>
      <c r="E40" s="423" t="s">
        <v>21</v>
      </c>
      <c r="F40" s="129" t="str">
        <f>RecordingSheet!D90</f>
        <v>Oliver Smith</v>
      </c>
      <c r="G40" s="171" t="e">
        <f>RecordingSheet!#REF!</f>
        <v>#REF!</v>
      </c>
    </row>
    <row r="41" spans="1:10" s="28" customFormat="1" ht="13.5" customHeight="1">
      <c r="A41" s="68"/>
      <c r="B41" s="424"/>
      <c r="C41" s="130" t="str">
        <f>RecordingSheet!D83</f>
        <v>Anna Mc Gookin</v>
      </c>
      <c r="D41" s="172" t="e">
        <f>RecordingSheet!#REF!</f>
        <v>#REF!</v>
      </c>
      <c r="E41" s="424"/>
      <c r="F41" s="130" t="str">
        <f>RecordingSheet!D91</f>
        <v>Cailean Gallagher</v>
      </c>
      <c r="G41" s="172" t="e">
        <f>RecordingSheet!#REF!</f>
        <v>#REF!</v>
      </c>
    </row>
    <row r="42" spans="1:10" s="28" customFormat="1" ht="13.5" customHeight="1">
      <c r="A42" s="68"/>
      <c r="B42" s="424"/>
      <c r="C42" s="131" t="str">
        <f>RecordingSheet!D84</f>
        <v>Emila Kingston</v>
      </c>
      <c r="D42" s="173" t="e">
        <f>RecordingSheet!#REF!</f>
        <v>#REF!</v>
      </c>
      <c r="E42" s="424"/>
      <c r="F42" s="131" t="str">
        <f>RecordingSheet!D92</f>
        <v>Alexander Blaha</v>
      </c>
      <c r="G42" s="173" t="e">
        <f>RecordingSheet!#REF!</f>
        <v>#REF!</v>
      </c>
    </row>
    <row r="43" spans="1:10" s="28" customFormat="1" ht="13.5" customHeight="1" thickBot="1">
      <c r="A43" s="68"/>
      <c r="B43" s="425"/>
      <c r="C43" s="132" t="str">
        <f>RecordingSheet!D85</f>
        <v>Clea Moore</v>
      </c>
      <c r="D43" s="174" t="e">
        <f>RecordingSheet!#REF!</f>
        <v>#REF!</v>
      </c>
      <c r="E43" s="425"/>
      <c r="F43" s="132" t="str">
        <f>RecordingSheet!D93</f>
        <v>Tom Mc Shane</v>
      </c>
      <c r="G43" s="174" t="e">
        <f>RecordingSheet!#REF!</f>
        <v>#REF!</v>
      </c>
    </row>
    <row r="44" spans="1:10" s="28" customFormat="1" ht="13.5" customHeight="1">
      <c r="A44" s="68"/>
      <c r="B44" s="423" t="s">
        <v>20</v>
      </c>
      <c r="C44" s="129" t="str">
        <f>RecordingSheet!D153</f>
        <v>Amy Mc Gurk</v>
      </c>
      <c r="D44" s="171" t="e">
        <f>RecordingSheet!#REF!</f>
        <v>#REF!</v>
      </c>
      <c r="E44" s="423" t="s">
        <v>20</v>
      </c>
      <c r="F44" s="129" t="str">
        <f>RecordingSheet!D161</f>
        <v>Alexander Blaha</v>
      </c>
      <c r="G44" s="171" t="e">
        <f>RecordingSheet!#REF!</f>
        <v>#REF!</v>
      </c>
    </row>
    <row r="45" spans="1:10" s="28" customFormat="1" ht="13.5" customHeight="1">
      <c r="A45" s="68"/>
      <c r="B45" s="424"/>
      <c r="C45" s="130" t="str">
        <f>RecordingSheet!D154</f>
        <v>Brooke Mc Clamont</v>
      </c>
      <c r="D45" s="172" t="e">
        <f>RecordingSheet!#REF!</f>
        <v>#REF!</v>
      </c>
      <c r="E45" s="424"/>
      <c r="F45" s="130" t="str">
        <f>RecordingSheet!D162</f>
        <v>Cailean Gallagher</v>
      </c>
      <c r="G45" s="172" t="e">
        <f>RecordingSheet!#REF!</f>
        <v>#REF!</v>
      </c>
    </row>
    <row r="46" spans="1:10" s="91" customFormat="1" ht="13.5" customHeight="1">
      <c r="A46" s="69"/>
      <c r="B46" s="424"/>
      <c r="C46" s="131" t="str">
        <f>RecordingSheet!D155</f>
        <v>Kensa Lawry</v>
      </c>
      <c r="D46" s="173" t="e">
        <f>RecordingSheet!#REF!</f>
        <v>#REF!</v>
      </c>
      <c r="E46" s="424"/>
      <c r="F46" s="131" t="str">
        <f>RecordingSheet!D163</f>
        <v>Lewis Robinson</v>
      </c>
      <c r="G46" s="173" t="e">
        <f>RecordingSheet!#REF!</f>
        <v>#REF!</v>
      </c>
    </row>
    <row r="47" spans="1:10" s="91" customFormat="1" ht="13.5" customHeight="1" thickBot="1">
      <c r="A47" s="69"/>
      <c r="B47" s="425"/>
      <c r="C47" s="132" t="str">
        <f>RecordingSheet!D156</f>
        <v>Ellen Gibbons</v>
      </c>
      <c r="D47" s="174" t="e">
        <f>RecordingSheet!#REF!</f>
        <v>#REF!</v>
      </c>
      <c r="E47" s="425"/>
      <c r="F47" s="132" t="str">
        <f>RecordingSheet!D164</f>
        <v>Oliver Smith</v>
      </c>
      <c r="G47" s="174" t="e">
        <f>RecordingSheet!#REF!</f>
        <v>#REF!</v>
      </c>
    </row>
    <row r="48" spans="1:10" s="91" customFormat="1" ht="13.5" customHeight="1">
      <c r="A48" s="69"/>
      <c r="B48" s="423" t="s">
        <v>19</v>
      </c>
      <c r="C48" s="129" t="str">
        <f>RecordingSheet!D224</f>
        <v>Brooke Mc Clamont</v>
      </c>
      <c r="D48" s="171" t="e">
        <f>RecordingSheet!#REF!</f>
        <v>#REF!</v>
      </c>
      <c r="E48" s="423" t="s">
        <v>19</v>
      </c>
      <c r="F48" s="129" t="str">
        <f>RecordingSheet!D232</f>
        <v>Oliver Smith</v>
      </c>
      <c r="G48" s="171" t="e">
        <f>RecordingSheet!#REF!</f>
        <v>#REF!</v>
      </c>
    </row>
    <row r="49" spans="1:10" s="91" customFormat="1" ht="13.5" customHeight="1">
      <c r="A49" s="69"/>
      <c r="B49" s="424"/>
      <c r="C49" s="130" t="str">
        <f>RecordingSheet!D225</f>
        <v>Anna Mc Gookin</v>
      </c>
      <c r="D49" s="172" t="e">
        <f>RecordingSheet!#REF!</f>
        <v>#REF!</v>
      </c>
      <c r="E49" s="424"/>
      <c r="F49" s="130" t="str">
        <f>RecordingSheet!D233</f>
        <v>Cailean Gallagher</v>
      </c>
      <c r="G49" s="172" t="e">
        <f>RecordingSheet!#REF!</f>
        <v>#REF!</v>
      </c>
    </row>
    <row r="50" spans="1:10" s="91" customFormat="1" ht="13.5" customHeight="1">
      <c r="A50" s="69"/>
      <c r="B50" s="424"/>
      <c r="C50" s="131" t="str">
        <f>RecordingSheet!D226</f>
        <v>Amy Mc Gurk</v>
      </c>
      <c r="D50" s="173" t="e">
        <f>RecordingSheet!#REF!</f>
        <v>#REF!</v>
      </c>
      <c r="E50" s="424"/>
      <c r="F50" s="131" t="str">
        <f>RecordingSheet!D234</f>
        <v>Lewis Robinson</v>
      </c>
      <c r="G50" s="173" t="e">
        <f>RecordingSheet!#REF!</f>
        <v>#REF!</v>
      </c>
    </row>
    <row r="51" spans="1:10" s="91" customFormat="1" ht="13.5" customHeight="1" thickBot="1">
      <c r="A51" s="69"/>
      <c r="B51" s="425"/>
      <c r="C51" s="132" t="str">
        <f>RecordingSheet!D227</f>
        <v>Evie Connor</v>
      </c>
      <c r="D51" s="174" t="e">
        <f>RecordingSheet!#REF!</f>
        <v>#REF!</v>
      </c>
      <c r="E51" s="425"/>
      <c r="F51" s="132" t="str">
        <f>RecordingSheet!D235</f>
        <v>Clea Moore</v>
      </c>
      <c r="G51" s="174" t="e">
        <f>RecordingSheet!#REF!</f>
        <v>#REF!</v>
      </c>
    </row>
    <row r="52" spans="1:10" s="91" customFormat="1" ht="13.5" customHeight="1">
      <c r="A52" s="69"/>
      <c r="B52" s="423" t="s">
        <v>23</v>
      </c>
      <c r="C52" s="129" t="str">
        <f>RecordingSheet!D295</f>
        <v>Amy Mc Gurk</v>
      </c>
      <c r="D52" s="171" t="e">
        <f>RecordingSheet!#REF!</f>
        <v>#REF!</v>
      </c>
      <c r="E52" s="423" t="s">
        <v>23</v>
      </c>
      <c r="F52" s="129" t="str">
        <f>RecordingSheet!D303</f>
        <v>Oliver Smith</v>
      </c>
      <c r="G52" s="171" t="e">
        <f>RecordingSheet!#REF!</f>
        <v>#REF!</v>
      </c>
    </row>
    <row r="53" spans="1:10" s="91" customFormat="1" ht="13.5" customHeight="1">
      <c r="A53" s="69"/>
      <c r="B53" s="424"/>
      <c r="C53" s="130" t="str">
        <f>RecordingSheet!D296</f>
        <v>Anna Mc Gookin</v>
      </c>
      <c r="D53" s="172" t="e">
        <f>RecordingSheet!#REF!</f>
        <v>#REF!</v>
      </c>
      <c r="E53" s="424"/>
      <c r="F53" s="130" t="str">
        <f>RecordingSheet!D304</f>
        <v>Cailean Gallagher</v>
      </c>
      <c r="G53" s="172" t="e">
        <f>RecordingSheet!#REF!</f>
        <v>#REF!</v>
      </c>
    </row>
    <row r="54" spans="1:10" s="91" customFormat="1" ht="13.5" customHeight="1">
      <c r="A54" s="69"/>
      <c r="B54" s="424"/>
      <c r="C54" s="131" t="str">
        <f>RecordingSheet!D297</f>
        <v>Emila Kingston</v>
      </c>
      <c r="D54" s="173" t="e">
        <f>RecordingSheet!#REF!</f>
        <v>#REF!</v>
      </c>
      <c r="E54" s="424"/>
      <c r="F54" s="131" t="str">
        <f>RecordingSheet!D305</f>
        <v>Lewis Robinson</v>
      </c>
      <c r="G54" s="173" t="e">
        <f>RecordingSheet!#REF!</f>
        <v>#REF!</v>
      </c>
    </row>
    <row r="55" spans="1:10" s="91" customFormat="1" ht="13.5" customHeight="1" thickBot="1">
      <c r="A55" s="69"/>
      <c r="B55" s="425"/>
      <c r="C55" s="132">
        <f>RecordingSheet!D298</f>
        <v>0</v>
      </c>
      <c r="D55" s="174" t="e">
        <f>RecordingSheet!#REF!</f>
        <v>#REF!</v>
      </c>
      <c r="E55" s="425"/>
      <c r="F55" s="132" t="str">
        <f>RecordingSheet!D306</f>
        <v>Tom Mc Shane</v>
      </c>
      <c r="G55" s="174" t="e">
        <f>RecordingSheet!#REF!</f>
        <v>#REF!</v>
      </c>
    </row>
    <row r="56" spans="1:10" ht="13.5" thickBot="1">
      <c r="A56" s="69"/>
      <c r="B56" s="65"/>
      <c r="C56" s="143"/>
      <c r="D56" s="64"/>
      <c r="E56" s="65"/>
      <c r="F56" s="143"/>
      <c r="G56" s="66"/>
      <c r="J56" s="1"/>
    </row>
    <row r="57" spans="1:10" s="28" customFormat="1" ht="16.5" thickBot="1">
      <c r="A57" s="68"/>
      <c r="B57" s="427" t="s">
        <v>40</v>
      </c>
      <c r="C57" s="428"/>
      <c r="D57" s="429"/>
      <c r="E57" s="427" t="s">
        <v>41</v>
      </c>
      <c r="F57" s="428"/>
      <c r="G57" s="429"/>
    </row>
    <row r="58" spans="1:10" s="28" customFormat="1" ht="13.5" customHeight="1">
      <c r="A58" s="68"/>
      <c r="B58" s="423" t="s">
        <v>21</v>
      </c>
      <c r="C58" s="129" t="str">
        <f>RecordingSheet!D98</f>
        <v>Abbi Craig</v>
      </c>
      <c r="D58" s="171" t="e">
        <f>RecordingSheet!#REF!</f>
        <v>#REF!</v>
      </c>
      <c r="E58" s="423" t="s">
        <v>21</v>
      </c>
      <c r="F58" s="129" t="str">
        <f>RecordingSheet!D106</f>
        <v>Alex Whiteside</v>
      </c>
      <c r="G58" s="171" t="e">
        <f>RecordingSheet!#REF!</f>
        <v>#REF!</v>
      </c>
    </row>
    <row r="59" spans="1:10" s="28" customFormat="1" ht="13.5" customHeight="1">
      <c r="A59" s="68"/>
      <c r="B59" s="424"/>
      <c r="C59" s="130" t="str">
        <f>RecordingSheet!D99</f>
        <v>Emily Butcher</v>
      </c>
      <c r="D59" s="172" t="e">
        <f>RecordingSheet!#REF!</f>
        <v>#REF!</v>
      </c>
      <c r="E59" s="424"/>
      <c r="F59" s="130" t="str">
        <f>RecordingSheet!D107</f>
        <v>Ben Dinsmore</v>
      </c>
      <c r="G59" s="172" t="e">
        <f>RecordingSheet!#REF!</f>
        <v>#REF!</v>
      </c>
    </row>
    <row r="60" spans="1:10" ht="13.5" customHeight="1">
      <c r="A60" s="69"/>
      <c r="B60" s="424"/>
      <c r="C60" s="131" t="str">
        <f>RecordingSheet!D100</f>
        <v>Erin Callaghan</v>
      </c>
      <c r="D60" s="173" t="e">
        <f>RecordingSheet!#REF!</f>
        <v>#REF!</v>
      </c>
      <c r="E60" s="424"/>
      <c r="F60" s="131" t="str">
        <f>RecordingSheet!D108</f>
        <v>Jude Williams</v>
      </c>
      <c r="G60" s="173" t="e">
        <f>RecordingSheet!#REF!</f>
        <v>#REF!</v>
      </c>
      <c r="J60" s="1"/>
    </row>
    <row r="61" spans="1:10" s="91" customFormat="1" ht="13.5" customHeight="1" thickBot="1">
      <c r="A61" s="69"/>
      <c r="B61" s="425"/>
      <c r="C61" s="132" t="str">
        <f>RecordingSheet!D101</f>
        <v>Niamh Mc Henry</v>
      </c>
      <c r="D61" s="174" t="e">
        <f>RecordingSheet!#REF!</f>
        <v>#REF!</v>
      </c>
      <c r="E61" s="425"/>
      <c r="F61" s="132" t="str">
        <f>RecordingSheet!D109</f>
        <v>Joshua Hunt</v>
      </c>
      <c r="G61" s="174" t="e">
        <f>RecordingSheet!#REF!</f>
        <v>#REF!</v>
      </c>
    </row>
    <row r="62" spans="1:10" ht="13.5" customHeight="1">
      <c r="A62" s="69"/>
      <c r="B62" s="423" t="s">
        <v>20</v>
      </c>
      <c r="C62" s="129" t="str">
        <f>RecordingSheet!D169</f>
        <v>Niamh Mc Henry</v>
      </c>
      <c r="D62" s="171" t="e">
        <f>RecordingSheet!#REF!</f>
        <v>#REF!</v>
      </c>
      <c r="E62" s="423" t="s">
        <v>20</v>
      </c>
      <c r="F62" s="129" t="str">
        <f>RecordingSheet!D177</f>
        <v>Jude Williams</v>
      </c>
      <c r="G62" s="171" t="e">
        <f>RecordingSheet!#REF!</f>
        <v>#REF!</v>
      </c>
      <c r="J62" s="1"/>
    </row>
    <row r="63" spans="1:10" ht="13.5" customHeight="1">
      <c r="A63" s="69"/>
      <c r="B63" s="424"/>
      <c r="C63" s="130" t="str">
        <f>RecordingSheet!D170</f>
        <v>Rose Mc Laughlin</v>
      </c>
      <c r="D63" s="172" t="e">
        <f>RecordingSheet!#REF!</f>
        <v>#REF!</v>
      </c>
      <c r="E63" s="424"/>
      <c r="F63" s="130" t="str">
        <f>RecordingSheet!D178</f>
        <v>Alex Whiteside</v>
      </c>
      <c r="G63" s="172" t="e">
        <f>RecordingSheet!#REF!</f>
        <v>#REF!</v>
      </c>
      <c r="J63" s="1"/>
    </row>
    <row r="64" spans="1:10" s="91" customFormat="1" ht="13.5" customHeight="1">
      <c r="A64" s="69"/>
      <c r="B64" s="424"/>
      <c r="C64" s="131" t="str">
        <f>RecordingSheet!D171</f>
        <v>Annaleece Heatherington</v>
      </c>
      <c r="D64" s="173" t="e">
        <f>RecordingSheet!#REF!</f>
        <v>#REF!</v>
      </c>
      <c r="E64" s="424"/>
      <c r="F64" s="131" t="str">
        <f>RecordingSheet!D179</f>
        <v>Joshua Hunt</v>
      </c>
      <c r="G64" s="173" t="e">
        <f>RecordingSheet!#REF!</f>
        <v>#REF!</v>
      </c>
    </row>
    <row r="65" spans="1:10" ht="13.5" customHeight="1" thickBot="1">
      <c r="A65" s="69"/>
      <c r="B65" s="425"/>
      <c r="C65" s="132" t="str">
        <f>RecordingSheet!D172</f>
        <v>Cara Gallagher</v>
      </c>
      <c r="D65" s="174" t="e">
        <f>RecordingSheet!#REF!</f>
        <v>#REF!</v>
      </c>
      <c r="E65" s="425"/>
      <c r="F65" s="132" t="str">
        <f>RecordingSheet!D180</f>
        <v>Ben Dinsmore</v>
      </c>
      <c r="G65" s="174" t="e">
        <f>RecordingSheet!#REF!</f>
        <v>#REF!</v>
      </c>
      <c r="J65" s="1"/>
    </row>
    <row r="66" spans="1:10" s="91" customFormat="1" ht="13.5" customHeight="1">
      <c r="A66" s="69"/>
      <c r="B66" s="423" t="s">
        <v>19</v>
      </c>
      <c r="C66" s="129" t="str">
        <f>RecordingSheet!D240</f>
        <v>Emily Butcher</v>
      </c>
      <c r="D66" s="171" t="e">
        <f>RecordingSheet!#REF!</f>
        <v>#REF!</v>
      </c>
      <c r="E66" s="423" t="s">
        <v>19</v>
      </c>
      <c r="F66" s="129" t="str">
        <f>RecordingSheet!D248</f>
        <v>Joshua Hunt</v>
      </c>
      <c r="G66" s="171" t="e">
        <f>RecordingSheet!#REF!</f>
        <v>#REF!</v>
      </c>
    </row>
    <row r="67" spans="1:10" s="91" customFormat="1" ht="13.5" customHeight="1">
      <c r="A67" s="69"/>
      <c r="B67" s="424"/>
      <c r="C67" s="130" t="str">
        <f>RecordingSheet!D241</f>
        <v>Abbi Craig</v>
      </c>
      <c r="D67" s="172" t="e">
        <f>RecordingSheet!#REF!</f>
        <v>#REF!</v>
      </c>
      <c r="E67" s="424"/>
      <c r="F67" s="130" t="str">
        <f>RecordingSheet!D249</f>
        <v>Alex Whiteside</v>
      </c>
      <c r="G67" s="172" t="e">
        <f>RecordingSheet!#REF!</f>
        <v>#REF!</v>
      </c>
    </row>
    <row r="68" spans="1:10" s="91" customFormat="1" ht="13.5" customHeight="1">
      <c r="A68" s="69"/>
      <c r="B68" s="424"/>
      <c r="C68" s="131" t="str">
        <f>RecordingSheet!D242</f>
        <v>Rebecca Sweeney</v>
      </c>
      <c r="D68" s="173" t="e">
        <f>RecordingSheet!#REF!</f>
        <v>#REF!</v>
      </c>
      <c r="E68" s="424"/>
      <c r="F68" s="131" t="str">
        <f>RecordingSheet!D250</f>
        <v>Jude Williams</v>
      </c>
      <c r="G68" s="173" t="e">
        <f>RecordingSheet!#REF!</f>
        <v>#REF!</v>
      </c>
    </row>
    <row r="69" spans="1:10" s="91" customFormat="1" ht="13.5" customHeight="1" thickBot="1">
      <c r="A69" s="69"/>
      <c r="B69" s="425"/>
      <c r="C69" s="132" t="str">
        <f>RecordingSheet!D243</f>
        <v>Rose Mc Laughlin</v>
      </c>
      <c r="D69" s="174" t="e">
        <f>RecordingSheet!#REF!</f>
        <v>#REF!</v>
      </c>
      <c r="E69" s="425"/>
      <c r="F69" s="132" t="str">
        <f>RecordingSheet!D251</f>
        <v>Ben Dinsmore</v>
      </c>
      <c r="G69" s="174" t="e">
        <f>RecordingSheet!#REF!</f>
        <v>#REF!</v>
      </c>
    </row>
    <row r="70" spans="1:10" ht="13.5" customHeight="1">
      <c r="A70" s="69"/>
      <c r="B70" s="423" t="s">
        <v>23</v>
      </c>
      <c r="C70" s="129" t="str">
        <f>RecordingSheet!D311</f>
        <v>Emily Butcher</v>
      </c>
      <c r="D70" s="171" t="e">
        <f>RecordingSheet!#REF!</f>
        <v>#REF!</v>
      </c>
      <c r="E70" s="423" t="s">
        <v>23</v>
      </c>
      <c r="F70" s="131" t="str">
        <f>RecordingSheet!D319</f>
        <v>Ben Dinsmore</v>
      </c>
      <c r="G70" s="173" t="e">
        <f>RecordingSheet!#REF!</f>
        <v>#REF!</v>
      </c>
      <c r="J70" s="1"/>
    </row>
    <row r="71" spans="1:10" ht="13.5" customHeight="1">
      <c r="A71" s="69"/>
      <c r="B71" s="424"/>
      <c r="C71" s="130" t="str">
        <f>RecordingSheet!D312</f>
        <v>Abbi Craig</v>
      </c>
      <c r="D71" s="172" t="e">
        <f>RecordingSheet!#REF!</f>
        <v>#REF!</v>
      </c>
      <c r="E71" s="424"/>
      <c r="F71" s="131" t="str">
        <f>RecordingSheet!D320</f>
        <v>Alex Whiteside</v>
      </c>
      <c r="G71" s="173" t="e">
        <f>RecordingSheet!#REF!</f>
        <v>#REF!</v>
      </c>
      <c r="J71" s="1"/>
    </row>
    <row r="72" spans="1:10" s="91" customFormat="1" ht="13.5" customHeight="1">
      <c r="A72" s="69"/>
      <c r="B72" s="424"/>
      <c r="C72" s="131" t="str">
        <f>RecordingSheet!D313</f>
        <v>Cara Gallagher</v>
      </c>
      <c r="D72" s="173" t="e">
        <f>RecordingSheet!#REF!</f>
        <v>#REF!</v>
      </c>
      <c r="E72" s="424"/>
      <c r="F72" s="131" t="str">
        <f>RecordingSheet!D321</f>
        <v>Jude Williams</v>
      </c>
      <c r="G72" s="173" t="e">
        <f>RecordingSheet!#REF!</f>
        <v>#REF!</v>
      </c>
    </row>
    <row r="73" spans="1:10" s="91" customFormat="1" ht="13.5" customHeight="1" thickBot="1">
      <c r="A73" s="69"/>
      <c r="B73" s="425"/>
      <c r="C73" s="132" t="str">
        <f>RecordingSheet!D314</f>
        <v>Erin Callaghan</v>
      </c>
      <c r="D73" s="174" t="e">
        <f>RecordingSheet!#REF!</f>
        <v>#REF!</v>
      </c>
      <c r="E73" s="425"/>
      <c r="F73" s="132" t="str">
        <f>RecordingSheet!D322</f>
        <v>Joshua Hunt</v>
      </c>
      <c r="G73" s="174" t="e">
        <f>RecordingSheet!#REF!</f>
        <v>#REF!</v>
      </c>
    </row>
    <row r="74" spans="1:10" ht="15.75">
      <c r="A74" s="69"/>
      <c r="B74" s="30"/>
      <c r="C74" s="144"/>
      <c r="D74" s="60"/>
      <c r="E74" s="29"/>
      <c r="F74" s="147"/>
      <c r="G74" s="60"/>
      <c r="J74" s="1"/>
    </row>
    <row r="75" spans="1:10" s="29" customFormat="1" ht="15.75">
      <c r="C75" s="144"/>
      <c r="F75" s="144"/>
      <c r="I75" s="31"/>
      <c r="J75" s="33"/>
    </row>
  </sheetData>
  <sheetProtection formatCells="0" formatColumns="0"/>
  <mergeCells count="41">
    <mergeCell ref="B1:G1"/>
    <mergeCell ref="E57:G57"/>
    <mergeCell ref="B57:D57"/>
    <mergeCell ref="E39:G39"/>
    <mergeCell ref="B39:D39"/>
    <mergeCell ref="E21:G21"/>
    <mergeCell ref="B21:D21"/>
    <mergeCell ref="E3:G3"/>
    <mergeCell ref="E44:E47"/>
    <mergeCell ref="E40:E43"/>
    <mergeCell ref="B40:B43"/>
    <mergeCell ref="E34:E37"/>
    <mergeCell ref="B3:D3"/>
    <mergeCell ref="B22:B25"/>
    <mergeCell ref="E22:E25"/>
    <mergeCell ref="B12:B15"/>
    <mergeCell ref="E70:E73"/>
    <mergeCell ref="E66:E69"/>
    <mergeCell ref="E62:E65"/>
    <mergeCell ref="E58:E61"/>
    <mergeCell ref="B70:B73"/>
    <mergeCell ref="B62:B65"/>
    <mergeCell ref="B58:B61"/>
    <mergeCell ref="B66:B69"/>
    <mergeCell ref="B34:B37"/>
    <mergeCell ref="E30:E33"/>
    <mergeCell ref="B30:B33"/>
    <mergeCell ref="E26:E29"/>
    <mergeCell ref="B26:B29"/>
    <mergeCell ref="B52:B55"/>
    <mergeCell ref="B48:B51"/>
    <mergeCell ref="B44:B47"/>
    <mergeCell ref="E52:E55"/>
    <mergeCell ref="E48:E51"/>
    <mergeCell ref="E4:E7"/>
    <mergeCell ref="B4:B7"/>
    <mergeCell ref="E16:E19"/>
    <mergeCell ref="B16:B19"/>
    <mergeCell ref="E12:E15"/>
    <mergeCell ref="E8:E11"/>
    <mergeCell ref="B8:B11"/>
  </mergeCells>
  <phoneticPr fontId="0" type="noConversion"/>
  <printOptions horizontalCentered="1"/>
  <pageMargins left="0.23622047244094491" right="0.23622047244094491" top="0.55118110236220474" bottom="0.55118110236220474" header="0.31496062992125984" footer="0.31496062992125984"/>
  <pageSetup paperSize="9" scale="78" orientation="portrait" horizontalDpi="4294967293" verticalDpi="4294967293"/>
  <headerFooter alignWithMargins="0">
    <oddFooter>&amp;CPERSONAL AND CONFIDENTIAL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HomeTeam</vt:lpstr>
      <vt:lpstr>AwayTeam</vt:lpstr>
      <vt:lpstr>HomeTeam - Tracking</vt:lpstr>
      <vt:lpstr>AwayTeam - Tracking</vt:lpstr>
      <vt:lpstr>RecordingSheet</vt:lpstr>
      <vt:lpstr>HomeTeamAnalysis</vt:lpstr>
      <vt:lpstr>AwayTeamAnalysis</vt:lpstr>
      <vt:lpstr>AwayTeamAnalysis!Print_Area</vt:lpstr>
      <vt:lpstr>HomeTeamAnalysis!Print_Area</vt:lpstr>
      <vt:lpstr>RecordingSheet!Print_Area</vt:lpstr>
      <vt:lpstr>RecordingSheet!Print_Titles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 Butler</dc:creator>
  <cp:lastModifiedBy>Windows10</cp:lastModifiedBy>
  <cp:lastPrinted>2016-03-05T16:53:08Z</cp:lastPrinted>
  <dcterms:created xsi:type="dcterms:W3CDTF">1998-01-04T12:07:38Z</dcterms:created>
  <dcterms:modified xsi:type="dcterms:W3CDTF">2019-05-22T07:00:35Z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Childs H u658600</vt:lpwstr>
  </property>
  <property fmtid="{D5CDD505-2E9C-101B-9397-08002B2CF9AE}" pid="3" name="Update_Footer">
    <vt:lpwstr>No</vt:lpwstr>
  </property>
  <property fmtid="{D5CDD505-2E9C-101B-9397-08002B2CF9AE}" pid="4" name="Radio_Button">
    <vt:lpwstr>NONE</vt:lpwstr>
  </property>
  <property fmtid="{D5CDD505-2E9C-101B-9397-08002B2CF9AE}" pid="5" name="Information_Classification">
    <vt:lpwstr>PERSONAL AND CONFIDENTIAL</vt:lpwstr>
  </property>
  <property fmtid="{D5CDD505-2E9C-101B-9397-08002B2CF9AE}" pid="6" name="Record_Title_ID">
    <vt:lpwstr>72</vt:lpwstr>
  </property>
  <property fmtid="{D5CDD505-2E9C-101B-9397-08002B2CF9AE}" pid="7" name="Initial_Creation_Date">
    <vt:filetime>1998-01-04T12:07:38Z</vt:filetime>
  </property>
  <property fmtid="{D5CDD505-2E9C-101B-9397-08002B2CF9AE}" pid="8" name="Retention_Period_Start_Date">
    <vt:filetime>2016-02-29T10:26:18Z</vt:filetime>
  </property>
  <property fmtid="{D5CDD505-2E9C-101B-9397-08002B2CF9AE}" pid="9" name="Last_Reviewed_Date">
    <vt:lpwstr/>
  </property>
  <property fmtid="{D5CDD505-2E9C-101B-9397-08002B2CF9AE}" pid="10" name="Retention_Review_Frequency">
    <vt:lpwstr/>
  </property>
</Properties>
</file>